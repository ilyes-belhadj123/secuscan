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P3 - Sécurité code" sheetId="2" state="visible" r:id="rId4"/>
    <sheet name="P3 - Sous-tâches" sheetId="3" state="visible" r:id="rId5"/>
  </sheets>
  <definedNames>
    <definedName function="false" hidden="true" localSheetId="1" name="_xlnm._FilterDatabase" vbProcedure="false">'P3 - Sécurité code'!$A$1:$M$25</definedName>
    <definedName function="false" hidden="true" localSheetId="2" name="_xlnm._FilterDatabase" vbProcedure="false">'P3 - Sous-tâches'!$A$1:$G$73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<sst xmlns="http://schemas.openxmlformats.org/spreadsheetml/2006/main" count="661" uniqueCount="362">
  <si>
    <t xml:space="preserve">Interface d'exercice</t>
  </si>
  <si>
    <t xml:space="preserve">Tout est calculé depuis les onglets. Les estimations en heures (texte bleu) se modifient dans les onglets « Sous-tâches ».</t>
  </si>
  <si>
    <t xml:space="preserve">Heures par jour</t>
  </si>
  <si>
    <t xml:space="preserve">Projet</t>
  </si>
  <si>
    <t xml:space="preserve">Tickets</t>
  </si>
  <si>
    <t xml:space="preserve">Story points</t>
  </si>
  <si>
    <t xml:space="preserve">Sous-tâches</t>
  </si>
  <si>
    <t xml:space="preserve">Charge (h)</t>
  </si>
  <si>
    <t xml:space="preserve">Charge (jours, 7 h/j)</t>
  </si>
  <si>
    <t xml:space="preserve">Sous-tâches terminées</t>
  </si>
  <si>
    <t xml:space="preserve">Avancement</t>
  </si>
  <si>
    <t xml:space="preserve">P3 - Sécurité code</t>
  </si>
  <si>
    <t xml:space="preserve">Charge par rôle (heures)</t>
  </si>
  <si>
    <t xml:space="preserve">Rôle</t>
  </si>
  <si>
    <t xml:space="preserve">Libellé</t>
  </si>
  <si>
    <t xml:space="preserve">Total</t>
  </si>
  <si>
    <t xml:space="preserve">BE</t>
  </si>
  <si>
    <t xml:space="preserve">Backend (FastAPI)</t>
  </si>
  <si>
    <t xml:space="preserve">FE</t>
  </si>
  <si>
    <t xml:space="preserve">Frontend web (React)</t>
  </si>
  <si>
    <t xml:space="preserve">MOB</t>
  </si>
  <si>
    <t xml:space="preserve">Mobile (Expo)</t>
  </si>
  <si>
    <t xml:space="preserve">IA</t>
  </si>
  <si>
    <t xml:space="preserve">IA / prompts (Claude)</t>
  </si>
  <si>
    <t xml:space="preserve">ML</t>
  </si>
  <si>
    <t xml:space="preserve">Machine learning</t>
  </si>
  <si>
    <t xml:space="preserve">DATA</t>
  </si>
  <si>
    <t xml:space="preserve">Données</t>
  </si>
  <si>
    <t xml:space="preserve">DEVOPS</t>
  </si>
  <si>
    <t xml:space="preserve">DevOps / infra</t>
  </si>
  <si>
    <t xml:space="preserve">QA</t>
  </si>
  <si>
    <t xml:space="preserve">Qualité / tests</t>
  </si>
  <si>
    <t xml:space="preserve">IOT</t>
  </si>
  <si>
    <t xml:space="preserve">IoT / matériel</t>
  </si>
  <si>
    <t xml:space="preserve">PO</t>
  </si>
  <si>
    <t xml:space="preserve">Produit</t>
  </si>
  <si>
    <t xml:space="preserve">REG</t>
  </si>
  <si>
    <t xml:space="preserve">Réglementaire / conformité</t>
  </si>
  <si>
    <t xml:space="preserve">Contrôle (doit égaler la charge en E5)</t>
  </si>
  <si>
    <t xml:space="preserve">Hypothèses : story points en Fibonacci ; heures = estimation initiale par sous-tâche, à affiner en planning ; 7 h productives par jour (modifiable en K3).</t>
  </si>
  <si>
    <t xml:space="preserve">ID</t>
  </si>
  <si>
    <t xml:space="preserve">Epic</t>
  </si>
  <si>
    <t xml:space="preserve">Type</t>
  </si>
  <si>
    <t xml:space="preserve">Titre</t>
  </si>
  <si>
    <t xml:space="preserve">Description / User story</t>
  </si>
  <si>
    <t xml:space="preserve">Spécifications techniques</t>
  </si>
  <si>
    <t xml:space="preserve">Critères d'acceptation</t>
  </si>
  <si>
    <t xml:space="preserve">Priorité</t>
  </si>
  <si>
    <t xml:space="preserve">Charge estimée (h)</t>
  </si>
  <si>
    <t xml:space="preserve">Nb sous-tâches</t>
  </si>
  <si>
    <t xml:space="preserve">Sprint</t>
  </si>
  <si>
    <t xml:space="preserve">Labels</t>
  </si>
  <si>
    <t xml:space="preserve">SS-1</t>
  </si>
  <si>
    <t xml:space="preserve">Socle technique</t>
  </si>
  <si>
    <t xml:space="preserve">Tâche</t>
  </si>
  <si>
    <t xml:space="preserve">Initialiser repos, CI et workers</t>
  </si>
  <si>
    <t xml:space="preserve">FastAPI, React/Vite, Redis, workers d'analyse Docker éphémères.</t>
  </si>
  <si>
    <t xml:space="preserve">Monorepo `apps/api` (FastAPI 3.12), `apps/web` (React 18 + Vite), `workers/scanner` (ARQ + Redis). CI : lint, tests, build d'images. Image scanner séparée contenant les outils d'analyse.</t>
  </si>
  <si>
    <t xml:space="preserve">CI verte ; un worker exécute une tâche isolée</t>
  </si>
  <si>
    <t xml:space="preserve">Critique</t>
  </si>
  <si>
    <t xml:space="preserve">S1</t>
  </si>
  <si>
    <t xml:space="preserve">devops</t>
  </si>
  <si>
    <t xml:space="preserve">SS-2</t>
  </si>
  <si>
    <t xml:space="preserve">Authentification</t>
  </si>
  <si>
    <t xml:space="preserve">Story</t>
  </si>
  <si>
    <t xml:space="preserve">Comptes et organisations</t>
  </si>
  <si>
    <t xml:space="preserve">En tant que CTO, je crée une organisation et invite mon équipe.</t>
  </si>
  <si>
    <t xml:space="preserve">`organizations`, `memberships` (role: owner|admin|member), `invitations` (token, expiry). Toutes les requêtes filtrées par `org_id` via dépendance FastAPI `current_org()`. Tests d'isolation cross-tenant.</t>
  </si>
  <si>
    <t xml:space="preserve">Rôles admin/membre ; invitations e-mail ; isolation multi-tenant testée</t>
  </si>
  <si>
    <t xml:space="preserve">backend</t>
  </si>
  <si>
    <t xml:space="preserve">SS-3</t>
  </si>
  <si>
    <t xml:space="preserve">Import</t>
  </si>
  <si>
    <t xml:space="preserve">Upload d'archive ZIP et collage de code</t>
  </si>
  <si>
    <t xml:space="preserve">En tant que développeur, j'importe mon code par ZIP ou collage.</t>
  </si>
  <si>
    <t xml:space="preserve">`POST /projects/{id}/uploads` (ZIP ≤ 100 Mo, protection zip-slip et zip-bomb) ou `POST /snippets`. Détection langages par extensions + fichiers manifestes. Stockage temporaire chiffré, suppression après scan.</t>
  </si>
  <si>
    <t xml:space="preserve">Limite de taille ; détection des langages ; archive supprimée après analyse</t>
  </si>
  <si>
    <t xml:space="preserve">Haute</t>
  </si>
  <si>
    <t xml:space="preserve">backend, web</t>
  </si>
  <si>
    <t xml:space="preserve">SS-4</t>
  </si>
  <si>
    <t xml:space="preserve">Sécurité plateforme</t>
  </si>
  <si>
    <t xml:space="preserve">Sandbox d'analyse éphémère</t>
  </si>
  <si>
    <t xml:space="preserve">Chaque analyse tourne dans un conteneur isolé, sans réseau sortant, détruit ensuite.</t>
  </si>
  <si>
    <t xml:space="preserve">Conteneur par scan : utilisateur non-root, FS en lecture seule sauf `/work`, `--network none`, limites CPU/RAM/temps, destruction en fin de job. Aucune exécution du code analysé.</t>
  </si>
  <si>
    <t xml:space="preserve">Aucun accès réseau ; suppression vérifiée ; test d'isolation</t>
  </si>
  <si>
    <t xml:space="preserve">sécurité, devops</t>
  </si>
  <si>
    <t xml:space="preserve">SS-5</t>
  </si>
  <si>
    <t xml:space="preserve">Analyse</t>
  </si>
  <si>
    <t xml:space="preserve">Intégrer le moteur de règles statiques</t>
  </si>
  <si>
    <t xml:space="preserve">Exécuter un moteur SAST open source sur Python, JS/TS, PHP, Java.</t>
  </si>
  <si>
    <t xml:space="preserve">Adaptateur autour d'un moteur SAST open source (sortie SARIF) + jeux de règles par langage + règles maison. Normalisation vers `findings` : rule_id, cwe, owasp, file, start_line, end_line, snippet_hash, raw_severity.</t>
  </si>
  <si>
    <t xml:space="preserve">Findings normalisés (fichier, lignes, règle, CWE)</t>
  </si>
  <si>
    <t xml:space="preserve">S2</t>
  </si>
  <si>
    <t xml:space="preserve">analyse</t>
  </si>
  <si>
    <t xml:space="preserve">SS-6</t>
  </si>
  <si>
    <t xml:space="preserve">Détection de secrets</t>
  </si>
  <si>
    <t xml:space="preserve">Détecter clés d'API, mots de passe et jetons commités.</t>
  </si>
  <si>
    <t xml:space="preserve">Détection par motifs + entropie. Stockage : type, fichier, ligne, empreinte SHA-256 tronquée ; **jamais la valeur**. Affichage masqué (`sk_****`).</t>
  </si>
  <si>
    <t xml:space="preserve">Valeurs jamais stockées en clair ; affichage masqué ; emplacement précis</t>
  </si>
  <si>
    <t xml:space="preserve">analyse, sécurité</t>
  </si>
  <si>
    <t xml:space="preserve">SS-7</t>
  </si>
  <si>
    <t xml:space="preserve">Analyse des dépendances (SCA)</t>
  </si>
  <si>
    <t xml:space="preserve">Identifier les bibliothèques avec CVE connues.</t>
  </si>
  <si>
    <t xml:space="preserve">Parsing requirements.txt / pyproject, package.json + lockfile, composer.json/lock, pom.xml. Croisement avec une base publique d'advisories (API open source). Sortie : package, version, advisory, fixed_version.</t>
  </si>
  <si>
    <t xml:space="preserve">Lecture des manifests (requirements, package.json, composer, pom) ; version corrigée indiquée</t>
  </si>
  <si>
    <t xml:space="preserve">SS-8</t>
  </si>
  <si>
    <t xml:space="preserve">Jeu de référence de vulnérabilités</t>
  </si>
  <si>
    <t xml:space="preserve">Constituer un benchmark à partir d'applications volontairement vulnérables open source.</t>
  </si>
  <si>
    <t xml:space="preserve">Corpus d'applications volontairement vulnérables open source + annotations de vérité terrain (fichier, ligne, CWE). Script `benchmark.py` calculant rappel, précision, faux positifs, exécuté en CI nocturne.</t>
  </si>
  <si>
    <t xml:space="preserve">Rappel et faux positifs calculés automatiquement en CI</t>
  </si>
  <si>
    <t xml:space="preserve">qa</t>
  </si>
  <si>
    <t xml:space="preserve">SS-9</t>
  </si>
  <si>
    <t xml:space="preserve">Validation contextuelle des alertes</t>
  </si>
  <si>
    <t xml:space="preserve">L'IA analyse l'extrait et son contexte pour confirmer ou écarter l'alerte.</t>
  </si>
  <si>
    <t xml:space="preserve">Pour chaque finding : extraction du contexte (fonction englobante + imports + appels, ≤ 150 lignes). Prompt Claude → JSON {verdict: true_positive|false_positive|uncertain, confidence, reason}. Findings `false_positive` à haute confiance masqués par défaut.</t>
  </si>
  <si>
    <t xml:space="preserve">Sortie JSON structurée ; faux positifs &lt; 15 % sur le benchmark</t>
  </si>
  <si>
    <t xml:space="preserve">S3</t>
  </si>
  <si>
    <t xml:space="preserve">ia</t>
  </si>
  <si>
    <t xml:space="preserve">SS-10</t>
  </si>
  <si>
    <t xml:space="preserve">Explication pédagogique de la faille</t>
  </si>
  <si>
    <t xml:space="preserve">En tant que développeur, je comprends la faille, le scénario d'attaque conceptuel et l'impact métier.</t>
  </si>
  <si>
    <t xml:space="preserve">Prompt pédagogique en français : définition, scénario d'attaque **conceptuel** (sans exploit ni payload fonctionnel), impact métier, niveau de difficulté, références OWASP/CWE. Filtre de sortie bloquant les charges offensives.</t>
  </si>
  <si>
    <t xml:space="preserve">Explication en français ; aucune charge offensive exploitable ; référence OWASP/CWE</t>
  </si>
  <si>
    <t xml:space="preserve">SS-11</t>
  </si>
  <si>
    <t xml:space="preserve">Proposition de correctif</t>
  </si>
  <si>
    <t xml:space="preserve">En tant que développeur, je vois un diff avant/après avec explication.</t>
  </si>
  <si>
    <t xml:space="preserve">Prompt correctif → JSON {patched_code, diff, explanation, best_practices[]}. Vérification syntaxique du correctif (parseur du langage). Diff unifié affiché côté front.</t>
  </si>
  <si>
    <t xml:space="preserve">Diff affiché ; correctif compilable sur 80 % du benchmark ; bouton copier</t>
  </si>
  <si>
    <t xml:space="preserve">SS-12</t>
  </si>
  <si>
    <t xml:space="preserve">Maîtrise des coûts IA</t>
  </si>
  <si>
    <t xml:space="preserve">Envoyer uniquement les extraits pertinents et mettre en cache.</t>
  </si>
  <si>
    <t xml:space="preserve">Budget de tokens par scan selon l'offre ; regroupement des findings d'un même fichier ; cache par (snippet_hash, rule_id, model_version). Métriques de coût par scan.</t>
  </si>
  <si>
    <t xml:space="preserve">Coût moyen par analyse mesuré et plafonné par offre</t>
  </si>
  <si>
    <t xml:space="preserve">ia, backend</t>
  </si>
  <si>
    <t xml:space="preserve">SS-13</t>
  </si>
  <si>
    <t xml:space="preserve">Scoring</t>
  </si>
  <si>
    <t xml:space="preserve">Classification et sévérité</t>
  </si>
  <si>
    <t xml:space="preserve">Chaque finding a une catégorie OWASP, un CWE et une sévérité.</t>
  </si>
  <si>
    <t xml:space="preserve">Mapping règle → CWE → catégorie OWASP Top 10. Sévérité = f(raw_severity, verdict IA, exposition). Documentation publique du scoring.</t>
  </si>
  <si>
    <t xml:space="preserve">4 niveaux de sévérité ; règles de scoring documentées</t>
  </si>
  <si>
    <t xml:space="preserve">SS-14</t>
  </si>
  <si>
    <t xml:space="preserve">Interface</t>
  </si>
  <si>
    <t xml:space="preserve">Vue détaillée d'une faille</t>
  </si>
  <si>
    <t xml:space="preserve">En tant que développeur, je vois le code surligné, l'explication et le correctif.</t>
  </si>
  <si>
    <t xml:space="preserve">Page `/scans/{id}/findings/{fid}` : code surligné (bibliothèque de coloration), panneaux explication / correctif / références, navigation clavier.</t>
  </si>
  <si>
    <t xml:space="preserve">Coloration syntaxique ; navigation entre findings</t>
  </si>
  <si>
    <t xml:space="preserve">S4</t>
  </si>
  <si>
    <t xml:space="preserve">web</t>
  </si>
  <si>
    <t xml:space="preserve">SS-15</t>
  </si>
  <si>
    <t xml:space="preserve">Tableau de bord projet</t>
  </si>
  <si>
    <t xml:space="preserve">En tant que CTO, je vois le score, la répartition par sévérité et l'évolution.</t>
  </si>
  <si>
    <t xml:space="preserve">Score projet 0-100 = pénalités pondérées par sévérité. Graphiques (recharts) : répartition sévérité, top catégories OWASP, évolution. Comparaison avec le scan précédent (nouveaux / corrigés).</t>
  </si>
  <si>
    <t xml:space="preserve">Graphiques ; comparaison avec l'analyse précédente</t>
  </si>
  <si>
    <t xml:space="preserve">SS-16</t>
  </si>
  <si>
    <t xml:space="preserve">Ignorer une alerte avec justification</t>
  </si>
  <si>
    <t xml:space="preserve">En tant que développeur, je marque un faux positif avec un motif.</t>
  </si>
  <si>
    <t xml:space="preserve">`POST /findings/{id}/dismiss {reason, justification}`. Empreinte stable (rule_id + chemin + snippet normalisé) pour retrouver le finding aux scans suivants.</t>
  </si>
  <si>
    <t xml:space="preserve">Justification obligatoire ; alerte masquée aux analyses suivantes ; audit log</t>
  </si>
  <si>
    <t xml:space="preserve">Moyenne</t>
  </si>
  <si>
    <t xml:space="preserve">web, backend</t>
  </si>
  <si>
    <t xml:space="preserve">SS-17</t>
  </si>
  <si>
    <t xml:space="preserve">Intégrations</t>
  </si>
  <si>
    <t xml:space="preserve">Connexion GitHub / GitLab</t>
  </si>
  <si>
    <t xml:space="preserve">En tant que développeur, je connecte un dépôt via OAuth et lance une analyse.</t>
  </si>
  <si>
    <t xml:space="preserve">Applications OAuth GitHub / GitLab (scopes lecture minimale). Jetons chiffrés (AES-GCM, clé en variable d'environnement référencée par nom). Clone shallow dans le conteneur de scan.</t>
  </si>
  <si>
    <t xml:space="preserve">Choix du dépôt et de la branche ; jetons chiffrés</t>
  </si>
  <si>
    <t xml:space="preserve">intégration</t>
  </si>
  <si>
    <t xml:space="preserve">SS-18</t>
  </si>
  <si>
    <t xml:space="preserve">Rapports</t>
  </si>
  <si>
    <t xml:space="preserve">Export PDF et JSON</t>
  </si>
  <si>
    <t xml:space="preserve">En tant que CTO, j'exporte un rapport pour un audit ou un client.</t>
  </si>
  <si>
    <t xml:space="preserve">PDF via template HTML + WeasyPrint (logo de l'organisation, résumé, findings par sévérité). JSON conforme à un schéma publié (JSON Schema).</t>
  </si>
  <si>
    <t xml:space="preserve">PDF brandé ; JSON conforme à un schéma documenté</t>
  </si>
  <si>
    <t xml:space="preserve">SS-19</t>
  </si>
  <si>
    <t xml:space="preserve">Traçabilité</t>
  </si>
  <si>
    <t xml:space="preserve">Journal d'audit</t>
  </si>
  <si>
    <t xml:space="preserve">Tracer analyses, ignorés, exports et invitations.</t>
  </si>
  <si>
    <t xml:space="preserve">Collection `audit_logs` en append-only (org_id, actor, action, target, ts, ip). Consultation filtrable par l'admin.</t>
  </si>
  <si>
    <t xml:space="preserve">Consultable par l'admin ; non modifiable</t>
  </si>
  <si>
    <t xml:space="preserve">backend, sécurité</t>
  </si>
  <si>
    <t xml:space="preserve">SS-20</t>
  </si>
  <si>
    <t xml:space="preserve">Monétisation</t>
  </si>
  <si>
    <t xml:space="preserve">Offres Free / Pro / Business</t>
  </si>
  <si>
    <t xml:space="preserve">Limites par offre et paiement en ligne.</t>
  </si>
  <si>
    <t xml:space="preserve">Plans : free (1 projet, 5 scans/mois), pro (par développeur), business (SSO, marque blanche). Paiement via prestataire + webhooks. Dépendance `require_plan()`.</t>
  </si>
  <si>
    <t xml:space="preserve">Quotas appliqués ; upgrade/downgrade ; facturation</t>
  </si>
  <si>
    <t xml:space="preserve">SS-21</t>
  </si>
  <si>
    <t xml:space="preserve">Bêta</t>
  </si>
  <si>
    <t xml:space="preserve">Bêta 10 équipes pilotes</t>
  </si>
  <si>
    <t xml:space="preserve">Onboarding et suivi de 10 équipes.</t>
  </si>
  <si>
    <t xml:space="preserve">10 équipes pilotes (organisations de test), onboarding guidé, sondage après 2 semaines, mesure du taux de correctifs acceptés.</t>
  </si>
  <si>
    <t xml:space="preserve">Feedback collecté ; taux de correctifs acceptés mesuré</t>
  </si>
  <si>
    <t xml:space="preserve">produit</t>
  </si>
  <si>
    <t xml:space="preserve">SS-22</t>
  </si>
  <si>
    <t xml:space="preserve">Intégrations (V2)</t>
  </si>
  <si>
    <t xml:space="preserve">Commentaires automatiques sur pull requests</t>
  </si>
  <si>
    <t xml:space="preserve">Commenter les PR avec les nouvelles failles introduites.</t>
  </si>
  <si>
    <t xml:space="preserve">GitHub App : webhook `pull_request` → scan incrémental sur le diff → commentaires de review sur les lignes concernées.</t>
  </si>
  <si>
    <t xml:space="preserve">Analyse incrémentale sur le diff ; commentaire par finding</t>
  </si>
  <si>
    <t xml:space="preserve">Basse</t>
  </si>
  <si>
    <t xml:space="preserve">V2</t>
  </si>
  <si>
    <t xml:space="preserve">SS-23</t>
  </si>
  <si>
    <t xml:space="preserve">Job CI/CD bloquant</t>
  </si>
  <si>
    <t xml:space="preserve">Bloquer un pipeline au-delà d'un seuil de sévérité.</t>
  </si>
  <si>
    <t xml:space="preserve">CLI `secuscan` + fichier `.secuscan.yml` (seuil, exclusions). Code retour ≠ 0 si seuil dépassé.</t>
  </si>
  <si>
    <t xml:space="preserve">Configuration par fichier ; code retour documenté</t>
  </si>
  <si>
    <t xml:space="preserve">SS-24</t>
  </si>
  <si>
    <t xml:space="preserve">Formation (V2)</t>
  </si>
  <si>
    <t xml:space="preserve">Mode formation code sécurisé</t>
  </si>
  <si>
    <t xml:space="preserve">Exercices de code vulnérable à corriger avec correction IA.</t>
  </si>
  <si>
    <t xml:space="preserve">Catalogue d'exercices (code vulnérable + tests), correction IA, progression par apprenant.</t>
  </si>
  <si>
    <t xml:space="preserve">10 exercices ; suivi de progression</t>
  </si>
  <si>
    <t xml:space="preserve">formation</t>
  </si>
  <si>
    <t xml:space="preserve">Ticket parent</t>
  </si>
  <si>
    <t xml:space="preserve">ID sous-tâche</t>
  </si>
  <si>
    <t xml:space="preserve">Sous-tâche</t>
  </si>
  <si>
    <t xml:space="preserve">Estimation (h)</t>
  </si>
  <si>
    <t xml:space="preserve">Statut</t>
  </si>
  <si>
    <t xml:space="preserve">Assigné à</t>
  </si>
  <si>
    <t xml:space="preserve">SS-1.1</t>
  </si>
  <si>
    <t xml:space="preserve">Structure monorepo + lint</t>
  </si>
  <si>
    <t xml:space="preserve">À faire</t>
  </si>
  <si>
    <t xml:space="preserve">SS-1.2</t>
  </si>
  <si>
    <t xml:space="preserve">Workers ARQ + Redis</t>
  </si>
  <si>
    <t xml:space="preserve">SS-1.3</t>
  </si>
  <si>
    <t xml:space="preserve">CI + build des images</t>
  </si>
  <si>
    <t xml:space="preserve">SS-2.1</t>
  </si>
  <si>
    <t xml:space="preserve">Modèles + endpoints organisations et invitations</t>
  </si>
  <si>
    <t xml:space="preserve">SS-2.2</t>
  </si>
  <si>
    <t xml:space="preserve">Middleware d'isolation multi-tenant</t>
  </si>
  <si>
    <t xml:space="preserve">SS-2.3</t>
  </si>
  <si>
    <t xml:space="preserve">Écrans organisation, membres, invitations</t>
  </si>
  <si>
    <t xml:space="preserve">SS-2.4</t>
  </si>
  <si>
    <t xml:space="preserve">Tests d'isolation</t>
  </si>
  <si>
    <t xml:space="preserve">SS-3.1</t>
  </si>
  <si>
    <t xml:space="preserve">Upload sécurisé (zip-slip, taille, ratio)</t>
  </si>
  <si>
    <t xml:space="preserve">SS-3.2</t>
  </si>
  <si>
    <t xml:space="preserve">Détection des langages</t>
  </si>
  <si>
    <t xml:space="preserve">SS-3.3</t>
  </si>
  <si>
    <t xml:space="preserve">Écran d'import (drag &amp; drop + éditeur)</t>
  </si>
  <si>
    <t xml:space="preserve">SS-4.1</t>
  </si>
  <si>
    <t xml:space="preserve">Profil de conteneur durci</t>
  </si>
  <si>
    <t xml:space="preserve">SS-4.2</t>
  </si>
  <si>
    <t xml:space="preserve">Orchestration job → conteneur → résultats</t>
  </si>
  <si>
    <t xml:space="preserve">SS-4.3</t>
  </si>
  <si>
    <t xml:space="preserve">Tests d'isolation réseau et FS</t>
  </si>
  <si>
    <t xml:space="preserve">SS-5.1</t>
  </si>
  <si>
    <t xml:space="preserve">Adaptateur moteur + parsing SARIF</t>
  </si>
  <si>
    <t xml:space="preserve">SS-5.2</t>
  </si>
  <si>
    <t xml:space="preserve">Normalisation des findings</t>
  </si>
  <si>
    <t xml:space="preserve">SS-5.3</t>
  </si>
  <si>
    <t xml:space="preserve">Premières règles maison</t>
  </si>
  <si>
    <t xml:space="preserve">SS-5.4</t>
  </si>
  <si>
    <t xml:space="preserve">Tests par langage</t>
  </si>
  <si>
    <t xml:space="preserve">SS-6.1</t>
  </si>
  <si>
    <t xml:space="preserve">Intégration d'un détecteur de secrets open source</t>
  </si>
  <si>
    <t xml:space="preserve">SS-6.2</t>
  </si>
  <si>
    <t xml:space="preserve">Masquage et stockage par empreinte</t>
  </si>
  <si>
    <t xml:space="preserve">SS-6.3</t>
  </si>
  <si>
    <t xml:space="preserve">Tests : aucune valeur en base ni en logs</t>
  </si>
  <si>
    <t xml:space="preserve">SS-7.1</t>
  </si>
  <si>
    <t xml:space="preserve">Parsers de manifests</t>
  </si>
  <si>
    <t xml:space="preserve">SS-7.2</t>
  </si>
  <si>
    <t xml:space="preserve">Client base d'advisories + cache</t>
  </si>
  <si>
    <t xml:space="preserve">SS-7.3</t>
  </si>
  <si>
    <t xml:space="preserve">Affichage des dépendances vulnérables</t>
  </si>
  <si>
    <t xml:space="preserve">SS-8.1</t>
  </si>
  <si>
    <t xml:space="preserve">Sélection du corpus + annotations</t>
  </si>
  <si>
    <t xml:space="preserve">SS-8.2</t>
  </si>
  <si>
    <t xml:space="preserve">Script de benchmark + rapport</t>
  </si>
  <si>
    <t xml:space="preserve">SS-8.3</t>
  </si>
  <si>
    <t xml:space="preserve">Job CI nocturne</t>
  </si>
  <si>
    <t xml:space="preserve">SS-9.1</t>
  </si>
  <si>
    <t xml:space="preserve">Extracteur de contexte (AST par langage)</t>
  </si>
  <si>
    <t xml:space="preserve">SS-9.2</t>
  </si>
  <si>
    <t xml:space="preserve">Prompt de validation + schéma JSON</t>
  </si>
  <si>
    <t xml:space="preserve">SS-9.3</t>
  </si>
  <si>
    <t xml:space="preserve">Intégration pipeline + parallélisation</t>
  </si>
  <si>
    <t xml:space="preserve">SS-9.4</t>
  </si>
  <si>
    <t xml:space="preserve">Mesure faux positifs sur benchmark</t>
  </si>
  <si>
    <t xml:space="preserve">SS-10.1</t>
  </si>
  <si>
    <t xml:space="preserve">Prompt d'explication + garde-fous</t>
  </si>
  <si>
    <t xml:space="preserve">SS-10.2</t>
  </si>
  <si>
    <t xml:space="preserve">Filtre de sortie</t>
  </si>
  <si>
    <t xml:space="preserve">SS-10.3</t>
  </si>
  <si>
    <t xml:space="preserve">Relecture de 30 explications</t>
  </si>
  <si>
    <t xml:space="preserve">SS-11.1</t>
  </si>
  <si>
    <t xml:space="preserve">Prompt correctif + schéma</t>
  </si>
  <si>
    <t xml:space="preserve">SS-11.2</t>
  </si>
  <si>
    <t xml:space="preserve">Vérification syntaxique du patch</t>
  </si>
  <si>
    <t xml:space="preserve">SS-11.3</t>
  </si>
  <si>
    <t xml:space="preserve">Composant diff avant/après + copier</t>
  </si>
  <si>
    <t xml:space="preserve">SS-11.4</t>
  </si>
  <si>
    <t xml:space="preserve">Taux de correctifs valides sur benchmark</t>
  </si>
  <si>
    <t xml:space="preserve">SS-12.1</t>
  </si>
  <si>
    <t xml:space="preserve">Cache par empreinte</t>
  </si>
  <si>
    <t xml:space="preserve">SS-12.2</t>
  </si>
  <si>
    <t xml:space="preserve">Budget et plafonds par offre</t>
  </si>
  <si>
    <t xml:space="preserve">SS-12.3</t>
  </si>
  <si>
    <t xml:space="preserve">Tableau de coûts</t>
  </si>
  <si>
    <t xml:space="preserve">SS-13.1</t>
  </si>
  <si>
    <t xml:space="preserve">Tables de mapping CWE / OWASP</t>
  </si>
  <si>
    <t xml:space="preserve">SS-13.2</t>
  </si>
  <si>
    <t xml:space="preserve">Fonction de scoring</t>
  </si>
  <si>
    <t xml:space="preserve">SS-13.3</t>
  </si>
  <si>
    <t xml:space="preserve">Documentation du scoring</t>
  </si>
  <si>
    <t xml:space="preserve">SS-14.1</t>
  </si>
  <si>
    <t xml:space="preserve">Vue code avec surlignage des lignes</t>
  </si>
  <si>
    <t xml:space="preserve">SS-14.2</t>
  </si>
  <si>
    <t xml:space="preserve">Panneaux explication et correctif</t>
  </si>
  <si>
    <t xml:space="preserve">SS-14.3</t>
  </si>
  <si>
    <t xml:space="preserve">Navigation entre findings</t>
  </si>
  <si>
    <t xml:space="preserve">SS-15.1</t>
  </si>
  <si>
    <t xml:space="preserve">Calcul du score + agrégations</t>
  </si>
  <si>
    <t xml:space="preserve">SS-15.2</t>
  </si>
  <si>
    <t xml:space="preserve">Dashboard et graphiques</t>
  </si>
  <si>
    <t xml:space="preserve">SS-15.3</t>
  </si>
  <si>
    <t xml:space="preserve">Diff entre deux scans</t>
  </si>
  <si>
    <t xml:space="preserve">SS-16.1</t>
  </si>
  <si>
    <t xml:space="preserve">Empreinte stable + endpoint dismiss</t>
  </si>
  <si>
    <t xml:space="preserve">SS-16.2</t>
  </si>
  <si>
    <t xml:space="preserve">Modale de justification</t>
  </si>
  <si>
    <t xml:space="preserve">SS-16.3</t>
  </si>
  <si>
    <t xml:space="preserve">Écriture dans l'audit log</t>
  </si>
  <si>
    <t xml:space="preserve">SS-17.1</t>
  </si>
  <si>
    <t xml:space="preserve">OAuth GitHub + GitLab</t>
  </si>
  <si>
    <t xml:space="preserve">SS-17.2</t>
  </si>
  <si>
    <t xml:space="preserve">Stockage chiffré des jetons</t>
  </si>
  <si>
    <t xml:space="preserve">SS-17.3</t>
  </si>
  <si>
    <t xml:space="preserve">Sélection dépôt / branche</t>
  </si>
  <si>
    <t xml:space="preserve">SS-17.4</t>
  </si>
  <si>
    <t xml:space="preserve">Clone shallow dans la sandbox</t>
  </si>
  <si>
    <t xml:space="preserve">SS-18.1</t>
  </si>
  <si>
    <t xml:space="preserve">Template et génération PDF</t>
  </si>
  <si>
    <t xml:space="preserve">SS-18.2</t>
  </si>
  <si>
    <t xml:space="preserve">Export JSON + schéma</t>
  </si>
  <si>
    <t xml:space="preserve">SS-18.3</t>
  </si>
  <si>
    <t xml:space="preserve">Bouton d'export + options</t>
  </si>
  <si>
    <t xml:space="preserve">SS-19.1</t>
  </si>
  <si>
    <t xml:space="preserve">Middleware d'audit</t>
  </si>
  <si>
    <t xml:space="preserve">SS-19.2</t>
  </si>
  <si>
    <t xml:space="preserve">Écran de consultation</t>
  </si>
  <si>
    <t xml:space="preserve">SS-20.1</t>
  </si>
  <si>
    <t xml:space="preserve">Plans, quotas, gating</t>
  </si>
  <si>
    <t xml:space="preserve">SS-20.2</t>
  </si>
  <si>
    <t xml:space="preserve">Paiement + webhooks</t>
  </si>
  <si>
    <t xml:space="preserve">SS-20.3</t>
  </si>
  <si>
    <t xml:space="preserve">Pages tarifs + facturation</t>
  </si>
  <si>
    <t xml:space="preserve">SS-21.1</t>
  </si>
  <si>
    <t xml:space="preserve">Recrutement et onboarding</t>
  </si>
  <si>
    <t xml:space="preserve">SS-21.2</t>
  </si>
  <si>
    <t xml:space="preserve">Analyse des retours</t>
  </si>
  <si>
    <t xml:space="preserve">SS-22.1</t>
  </si>
  <si>
    <t xml:space="preserve">GitHub App + webhooks</t>
  </si>
  <si>
    <t xml:space="preserve">SS-22.2</t>
  </si>
  <si>
    <t xml:space="preserve">Scan incrémental sur diff</t>
  </si>
  <si>
    <t xml:space="preserve">SS-23.1</t>
  </si>
  <si>
    <t xml:space="preserve">CLI + configuration</t>
  </si>
  <si>
    <t xml:space="preserve">SS-23.2</t>
  </si>
  <si>
    <t xml:space="preserve">Documentation d'intégration CI</t>
  </si>
  <si>
    <t xml:space="preserve">SS-24.1</t>
  </si>
  <si>
    <t xml:space="preserve">Conception de 10 exercices</t>
  </si>
  <si>
    <t xml:space="preserve">SS-24.2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</si>
</sst>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"/>
    <numFmt numFmtId="167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7" min="3" style="0" width="14"/>
    <col collapsed="false" customWidth="true" hidden="false" outlineLevel="0" max="8" min="8" style="0" width="12"/>
    <col collapsed="false" customWidth="true" hidden="false" outlineLevel="0" max="9" min="9" style="0" width="2"/>
    <col collapsed="false" customWidth="true" hidden="false" outlineLevel="0" max="10" min="10" style="0" width="14"/>
    <col collapsed="false" customWidth="true" hidden="false" outlineLevel="0" max="11" min="11" style="0" width="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J3" s="3" t="s">
        <v>2</v>
      </c>
      <c r="K3" s="4" t="n">
        <v>7</v>
      </c>
    </row>
    <row r="4" customFormat="false" ht="31.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</row>
    <row r="5" customFormat="false" ht="15" hidden="false" customHeight="false" outlineLevel="0" collapsed="false">
      <c r="A5" s="6" t="s">
        <v>11</v>
      </c>
      <c r="B5" s="7" t="n">
        <f aca="false">COUNTA('P3 - Sécurité code'!A2:A300)</f>
        <v>24</v>
      </c>
      <c r="C5" s="7" t="n">
        <f aca="false">SUM('P3 - Sécurité code'!I2:I300)</f>
        <v>128</v>
      </c>
      <c r="D5" s="7" t="n">
        <f aca="false">COUNTA('P3 - Sous-tâches'!B2:B1000)</f>
        <v>72</v>
      </c>
      <c r="E5" s="7" t="n">
        <f aca="false">SUM('P3 - Sous-tâches'!E2:E1000)</f>
        <v>289</v>
      </c>
      <c r="F5" s="8" t="n">
        <f aca="false">IF($K$3=0,0,E5/$K$3)</f>
        <v>41.2857142857143</v>
      </c>
      <c r="G5" s="7" t="n">
        <f aca="false">COUNTIF('P3 - Sous-tâches'!F2:F1000,"Terminé")</f>
        <v>0</v>
      </c>
      <c r="H5" s="9" t="n">
        <f aca="false">IF(D5=0,0,G5/D5)</f>
        <v>0</v>
      </c>
    </row>
    <row r="12" customFormat="false" ht="15" hidden="false" customHeight="false" outlineLevel="0" collapsed="false">
      <c r="A12" s="10" t="s">
        <v>12</v>
      </c>
    </row>
    <row r="13" customFormat="false" ht="31.5" hidden="false" customHeight="true" outlineLevel="0" collapsed="false">
      <c r="A13" s="5" t="s">
        <v>13</v>
      </c>
      <c r="B13" s="5" t="s">
        <v>14</v>
      </c>
      <c r="C13" s="5" t="s">
        <v>11</v>
      </c>
      <c r="D13" s="5" t="s">
        <v>15</v>
      </c>
    </row>
    <row r="14" customFormat="false" ht="15" hidden="false" customHeight="false" outlineLevel="0" collapsed="false">
      <c r="A14" s="6" t="s">
        <v>16</v>
      </c>
      <c r="B14" s="6" t="s">
        <v>17</v>
      </c>
      <c r="C14" s="7" t="n">
        <f aca="false">SUMIF('P3 - Sous-tâches'!C2:C1000,A14,'P3 - Sous-tâches'!E2:E1000)</f>
        <v>148</v>
      </c>
      <c r="D14" s="11" t="n">
        <f aca="false">SUM(C14:C14)</f>
        <v>148</v>
      </c>
    </row>
    <row r="15" customFormat="false" ht="15" hidden="false" customHeight="false" outlineLevel="0" collapsed="false">
      <c r="A15" s="6" t="s">
        <v>18</v>
      </c>
      <c r="B15" s="6" t="s">
        <v>19</v>
      </c>
      <c r="C15" s="7" t="n">
        <f aca="false">SUMIF('P3 - Sous-tâches'!C2:C1000,A15,'P3 - Sous-tâches'!E2:E1000)</f>
        <v>53</v>
      </c>
      <c r="D15" s="11" t="n">
        <f aca="false">SUM(C15:C15)</f>
        <v>53</v>
      </c>
    </row>
    <row r="16" customFormat="false" ht="15" hidden="false" customHeight="false" outlineLevel="0" collapsed="false">
      <c r="A16" s="6" t="s">
        <v>20</v>
      </c>
      <c r="B16" s="6" t="s">
        <v>21</v>
      </c>
      <c r="C16" s="7" t="n">
        <f aca="false">SUMIF('P3 - Sous-tâches'!C2:C1000,A16,'P3 - Sous-tâches'!E2:E1000)</f>
        <v>0</v>
      </c>
      <c r="D16" s="11" t="n">
        <f aca="false">SUM(C16:C16)</f>
        <v>0</v>
      </c>
    </row>
    <row r="17" customFormat="false" ht="15" hidden="false" customHeight="false" outlineLevel="0" collapsed="false">
      <c r="A17" s="6" t="s">
        <v>22</v>
      </c>
      <c r="B17" s="6" t="s">
        <v>23</v>
      </c>
      <c r="C17" s="7" t="n">
        <f aca="false">SUMIF('P3 - Sous-tâches'!C2:C1000,A17,'P3 - Sous-tâches'!E2:E1000)</f>
        <v>12</v>
      </c>
      <c r="D17" s="11" t="n">
        <f aca="false">SUM(C17:C17)</f>
        <v>12</v>
      </c>
    </row>
    <row r="18" customFormat="false" ht="15" hidden="false" customHeight="false" outlineLevel="0" collapsed="false">
      <c r="A18" s="6" t="s">
        <v>24</v>
      </c>
      <c r="B18" s="6" t="s">
        <v>25</v>
      </c>
      <c r="C18" s="7" t="n">
        <f aca="false">SUMIF('P3 - Sous-tâches'!C2:C1000,A18,'P3 - Sous-tâches'!E2:E1000)</f>
        <v>0</v>
      </c>
      <c r="D18" s="11" t="n">
        <f aca="false">SUM(C18:C18)</f>
        <v>0</v>
      </c>
    </row>
    <row r="19" customFormat="false" ht="15" hidden="false" customHeight="false" outlineLevel="0" collapsed="false">
      <c r="A19" s="6" t="s">
        <v>26</v>
      </c>
      <c r="B19" s="6" t="s">
        <v>27</v>
      </c>
      <c r="C19" s="7" t="n">
        <f aca="false">SUMIF('P3 - Sous-tâches'!C2:C1000,A19,'P3 - Sous-tâches'!E2:E1000)</f>
        <v>2</v>
      </c>
      <c r="D19" s="11" t="n">
        <f aca="false">SUM(C19:C19)</f>
        <v>2</v>
      </c>
    </row>
    <row r="20" customFormat="false" ht="15" hidden="false" customHeight="false" outlineLevel="0" collapsed="false">
      <c r="A20" s="6" t="s">
        <v>28</v>
      </c>
      <c r="B20" s="6" t="s">
        <v>29</v>
      </c>
      <c r="C20" s="7" t="n">
        <f aca="false">SUMIF('P3 - Sous-tâches'!C2:C1000,A20,'P3 - Sous-tâches'!E2:E1000)</f>
        <v>19</v>
      </c>
      <c r="D20" s="11" t="n">
        <f aca="false">SUM(C20:C20)</f>
        <v>19</v>
      </c>
    </row>
    <row r="21" customFormat="false" ht="15" hidden="false" customHeight="false" outlineLevel="0" collapsed="false">
      <c r="A21" s="6" t="s">
        <v>30</v>
      </c>
      <c r="B21" s="6" t="s">
        <v>31</v>
      </c>
      <c r="C21" s="7" t="n">
        <f aca="false">SUMIF('P3 - Sous-tâches'!C2:C1000,A21,'P3 - Sous-tâches'!E2:E1000)</f>
        <v>33</v>
      </c>
      <c r="D21" s="11" t="n">
        <f aca="false">SUM(C21:C21)</f>
        <v>33</v>
      </c>
    </row>
    <row r="22" customFormat="false" ht="15" hidden="false" customHeight="false" outlineLevel="0" collapsed="false">
      <c r="A22" s="6" t="s">
        <v>32</v>
      </c>
      <c r="B22" s="6" t="s">
        <v>33</v>
      </c>
      <c r="C22" s="7" t="n">
        <f aca="false">SUMIF('P3 - Sous-tâches'!C2:C1000,A22,'P3 - Sous-tâches'!E2:E1000)</f>
        <v>0</v>
      </c>
      <c r="D22" s="11" t="n">
        <f aca="false">SUM(C22:C22)</f>
        <v>0</v>
      </c>
    </row>
    <row r="23" customFormat="false" ht="15" hidden="false" customHeight="false" outlineLevel="0" collapsed="false">
      <c r="A23" s="6" t="s">
        <v>34</v>
      </c>
      <c r="B23" s="6" t="s">
        <v>35</v>
      </c>
      <c r="C23" s="7" t="n">
        <f aca="false">SUMIF('P3 - Sous-tâches'!C2:C1000,A23,'P3 - Sous-tâches'!E2:E1000)</f>
        <v>22</v>
      </c>
      <c r="D23" s="11" t="n">
        <f aca="false">SUM(C23:C23)</f>
        <v>22</v>
      </c>
    </row>
    <row r="24" customFormat="false" ht="15" hidden="false" customHeight="false" outlineLevel="0" collapsed="false">
      <c r="A24" s="6" t="s">
        <v>36</v>
      </c>
      <c r="B24" s="6" t="s">
        <v>37</v>
      </c>
      <c r="C24" s="7" t="n">
        <f aca="false">SUMIF('P3 - Sous-tâches'!C2:C1000,A24,'P3 - Sous-tâches'!E2:E1000)</f>
        <v>0</v>
      </c>
      <c r="D24" s="11" t="n">
        <f aca="false">SUM(C24:C24)</f>
        <v>0</v>
      </c>
    </row>
    <row r="25" customFormat="false" ht="15" hidden="false" customHeight="false" outlineLevel="0" collapsed="false">
      <c r="B25" s="12" t="s">
        <v>38</v>
      </c>
      <c r="D25" s="3" t="n">
        <f aca="false">SUM(D14:D24)</f>
        <v>289</v>
      </c>
    </row>
    <row r="27" customFormat="false" ht="15" hidden="false" customHeight="false" outlineLevel="0" collapsed="false">
      <c r="A27" s="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4" min="4" style="0" width="32"/>
    <col collapsed="false" customWidth="true" hidden="false" outlineLevel="0" max="5" min="5" style="0" width="45"/>
    <col collapsed="false" customWidth="true" hidden="false" outlineLevel="0" max="6" min="6" style="0" width="60"/>
    <col collapsed="false" customWidth="true" hidden="false" outlineLevel="0" max="7" min="7" style="0" width="45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18"/>
  </cols>
  <sheetData>
    <row r="1" customFormat="false" ht="31.5" hidden="false" customHeight="true" outlineLevel="0" collapsed="false">
      <c r="A1" s="13" t="s">
        <v>40</v>
      </c>
      <c r="B1" s="13" t="s">
        <v>41</v>
      </c>
      <c r="C1" s="13" t="s">
        <v>42</v>
      </c>
      <c r="D1" s="13" t="s">
        <v>43</v>
      </c>
      <c r="E1" s="13" t="s">
        <v>44</v>
      </c>
      <c r="F1" s="13" t="s">
        <v>45</v>
      </c>
      <c r="G1" s="13" t="s">
        <v>46</v>
      </c>
      <c r="H1" s="13" t="s">
        <v>47</v>
      </c>
      <c r="I1" s="13" t="s">
        <v>5</v>
      </c>
      <c r="J1" s="13" t="s">
        <v>48</v>
      </c>
      <c r="K1" s="13" t="s">
        <v>49</v>
      </c>
      <c r="L1" s="13" t="s">
        <v>50</v>
      </c>
      <c r="M1" s="13" t="s">
        <v>51</v>
      </c>
    </row>
    <row r="2" customFormat="false" ht="35.05" hidden="false" customHeight="false" outlineLevel="0" collapsed="false">
      <c r="A2" s="14" t="s">
        <v>52</v>
      </c>
      <c r="B2" s="14" t="s">
        <v>53</v>
      </c>
      <c r="C2" s="14" t="s">
        <v>54</v>
      </c>
      <c r="D2" s="14" t="s">
        <v>55</v>
      </c>
      <c r="E2" s="14" t="s">
        <v>56</v>
      </c>
      <c r="F2" s="14" t="s">
        <v>57</v>
      </c>
      <c r="G2" s="14" t="s">
        <v>58</v>
      </c>
      <c r="H2" s="15" t="s">
        <v>59</v>
      </c>
      <c r="I2" s="16" t="n">
        <v>5</v>
      </c>
      <c r="J2" s="16" t="n">
        <f aca="false">SUMIF('P3 - Sous-tâches'!$A$2:$A$1000,A2,'P3 - Sous-tâches'!$E$2:$E$1000)</f>
        <v>11</v>
      </c>
      <c r="K2" s="16" t="n">
        <f aca="false">COUNTIF('P3 - Sous-tâches'!$A$2:$A$1000,A2)</f>
        <v>3</v>
      </c>
      <c r="L2" s="14" t="s">
        <v>60</v>
      </c>
      <c r="M2" s="14" t="s">
        <v>61</v>
      </c>
    </row>
    <row r="3" customFormat="false" ht="35.05" hidden="false" customHeight="false" outlineLevel="0" collapsed="false">
      <c r="A3" s="14" t="s">
        <v>62</v>
      </c>
      <c r="B3" s="14" t="s">
        <v>63</v>
      </c>
      <c r="C3" s="14" t="s">
        <v>64</v>
      </c>
      <c r="D3" s="14" t="s">
        <v>65</v>
      </c>
      <c r="E3" s="14" t="s">
        <v>66</v>
      </c>
      <c r="F3" s="14" t="s">
        <v>67</v>
      </c>
      <c r="G3" s="14" t="s">
        <v>68</v>
      </c>
      <c r="H3" s="15" t="s">
        <v>59</v>
      </c>
      <c r="I3" s="16" t="n">
        <v>5</v>
      </c>
      <c r="J3" s="16" t="n">
        <f aca="false">SUMIF('P3 - Sous-tâches'!$A$2:$A$1000,A3,'P3 - Sous-tâches'!$E$2:$E$1000)</f>
        <v>18</v>
      </c>
      <c r="K3" s="16" t="n">
        <f aca="false">COUNTIF('P3 - Sous-tâches'!$A$2:$A$1000,A3)</f>
        <v>4</v>
      </c>
      <c r="L3" s="14" t="s">
        <v>60</v>
      </c>
      <c r="M3" s="14" t="s">
        <v>69</v>
      </c>
    </row>
    <row r="4" customFormat="false" ht="35.05" hidden="false" customHeight="false" outlineLevel="0" collapsed="false">
      <c r="A4" s="14" t="s">
        <v>70</v>
      </c>
      <c r="B4" s="14" t="s">
        <v>71</v>
      </c>
      <c r="C4" s="14" t="s">
        <v>64</v>
      </c>
      <c r="D4" s="14" t="s">
        <v>72</v>
      </c>
      <c r="E4" s="14" t="s">
        <v>73</v>
      </c>
      <c r="F4" s="14" t="s">
        <v>74</v>
      </c>
      <c r="G4" s="14" t="s">
        <v>75</v>
      </c>
      <c r="H4" s="17" t="s">
        <v>76</v>
      </c>
      <c r="I4" s="16" t="n">
        <v>3</v>
      </c>
      <c r="J4" s="16" t="n">
        <f aca="false">SUMIF('P3 - Sous-tâches'!$A$2:$A$1000,A4,'P3 - Sous-tâches'!$E$2:$E$1000)</f>
        <v>11</v>
      </c>
      <c r="K4" s="16" t="n">
        <f aca="false">COUNTIF('P3 - Sous-tâches'!$A$2:$A$1000,A4)</f>
        <v>3</v>
      </c>
      <c r="L4" s="14" t="s">
        <v>60</v>
      </c>
      <c r="M4" s="14" t="s">
        <v>77</v>
      </c>
    </row>
    <row r="5" customFormat="false" ht="35.05" hidden="false" customHeight="false" outlineLevel="0" collapsed="false">
      <c r="A5" s="14" t="s">
        <v>78</v>
      </c>
      <c r="B5" s="14" t="s">
        <v>79</v>
      </c>
      <c r="C5" s="14" t="s">
        <v>54</v>
      </c>
      <c r="D5" s="14" t="s">
        <v>80</v>
      </c>
      <c r="E5" s="14" t="s">
        <v>81</v>
      </c>
      <c r="F5" s="14" t="s">
        <v>82</v>
      </c>
      <c r="G5" s="14" t="s">
        <v>83</v>
      </c>
      <c r="H5" s="15" t="s">
        <v>59</v>
      </c>
      <c r="I5" s="16" t="n">
        <v>8</v>
      </c>
      <c r="J5" s="16" t="n">
        <f aca="false">SUMIF('P3 - Sous-tâches'!$A$2:$A$1000,A5,'P3 - Sous-tâches'!$E$2:$E$1000)</f>
        <v>15</v>
      </c>
      <c r="K5" s="16" t="n">
        <f aca="false">COUNTIF('P3 - Sous-tâches'!$A$2:$A$1000,A5)</f>
        <v>3</v>
      </c>
      <c r="L5" s="14" t="s">
        <v>60</v>
      </c>
      <c r="M5" s="14" t="s">
        <v>84</v>
      </c>
    </row>
    <row r="6" customFormat="false" ht="35.05" hidden="false" customHeight="false" outlineLevel="0" collapsed="false">
      <c r="A6" s="14" t="s">
        <v>85</v>
      </c>
      <c r="B6" s="14" t="s">
        <v>86</v>
      </c>
      <c r="C6" s="14" t="s">
        <v>64</v>
      </c>
      <c r="D6" s="14" t="s">
        <v>87</v>
      </c>
      <c r="E6" s="14" t="s">
        <v>88</v>
      </c>
      <c r="F6" s="14" t="s">
        <v>89</v>
      </c>
      <c r="G6" s="14" t="s">
        <v>90</v>
      </c>
      <c r="H6" s="15" t="s">
        <v>59</v>
      </c>
      <c r="I6" s="16" t="n">
        <v>8</v>
      </c>
      <c r="J6" s="16" t="n">
        <f aca="false">SUMIF('P3 - Sous-tâches'!$A$2:$A$1000,A6,'P3 - Sous-tâches'!$E$2:$E$1000)</f>
        <v>18</v>
      </c>
      <c r="K6" s="16" t="n">
        <f aca="false">COUNTIF('P3 - Sous-tâches'!$A$2:$A$1000,A6)</f>
        <v>4</v>
      </c>
      <c r="L6" s="14" t="s">
        <v>91</v>
      </c>
      <c r="M6" s="14" t="s">
        <v>92</v>
      </c>
    </row>
    <row r="7" customFormat="false" ht="23.85" hidden="false" customHeight="false" outlineLevel="0" collapsed="false">
      <c r="A7" s="14" t="s">
        <v>93</v>
      </c>
      <c r="B7" s="14" t="s">
        <v>86</v>
      </c>
      <c r="C7" s="14" t="s">
        <v>64</v>
      </c>
      <c r="D7" s="14" t="s">
        <v>94</v>
      </c>
      <c r="E7" s="14" t="s">
        <v>95</v>
      </c>
      <c r="F7" s="14" t="s">
        <v>96</v>
      </c>
      <c r="G7" s="14" t="s">
        <v>97</v>
      </c>
      <c r="H7" s="15" t="s">
        <v>59</v>
      </c>
      <c r="I7" s="16" t="n">
        <v>5</v>
      </c>
      <c r="J7" s="16" t="n">
        <f aca="false">SUMIF('P3 - Sous-tâches'!$A$2:$A$1000,A7,'P3 - Sous-tâches'!$E$2:$E$1000)</f>
        <v>9</v>
      </c>
      <c r="K7" s="16" t="n">
        <f aca="false">COUNTIF('P3 - Sous-tâches'!$A$2:$A$1000,A7)</f>
        <v>3</v>
      </c>
      <c r="L7" s="14" t="s">
        <v>91</v>
      </c>
      <c r="M7" s="14" t="s">
        <v>98</v>
      </c>
    </row>
    <row r="8" customFormat="false" ht="46.25" hidden="false" customHeight="false" outlineLevel="0" collapsed="false">
      <c r="A8" s="14" t="s">
        <v>99</v>
      </c>
      <c r="B8" s="14" t="s">
        <v>86</v>
      </c>
      <c r="C8" s="14" t="s">
        <v>64</v>
      </c>
      <c r="D8" s="14" t="s">
        <v>100</v>
      </c>
      <c r="E8" s="14" t="s">
        <v>101</v>
      </c>
      <c r="F8" s="14" t="s">
        <v>102</v>
      </c>
      <c r="G8" s="14" t="s">
        <v>103</v>
      </c>
      <c r="H8" s="17" t="s">
        <v>76</v>
      </c>
      <c r="I8" s="16" t="n">
        <v>5</v>
      </c>
      <c r="J8" s="16" t="n">
        <f aca="false">SUMIF('P3 - Sous-tâches'!$A$2:$A$1000,A8,'P3 - Sous-tâches'!$E$2:$E$1000)</f>
        <v>12</v>
      </c>
      <c r="K8" s="16" t="n">
        <f aca="false">COUNTIF('P3 - Sous-tâches'!$A$2:$A$1000,A8)</f>
        <v>3</v>
      </c>
      <c r="L8" s="14" t="s">
        <v>91</v>
      </c>
      <c r="M8" s="14" t="s">
        <v>92</v>
      </c>
    </row>
    <row r="9" customFormat="false" ht="35.05" hidden="false" customHeight="false" outlineLevel="0" collapsed="false">
      <c r="A9" s="14" t="s">
        <v>104</v>
      </c>
      <c r="B9" s="14" t="s">
        <v>86</v>
      </c>
      <c r="C9" s="14" t="s">
        <v>54</v>
      </c>
      <c r="D9" s="14" t="s">
        <v>105</v>
      </c>
      <c r="E9" s="14" t="s">
        <v>106</v>
      </c>
      <c r="F9" s="14" t="s">
        <v>107</v>
      </c>
      <c r="G9" s="14" t="s">
        <v>108</v>
      </c>
      <c r="H9" s="17" t="s">
        <v>76</v>
      </c>
      <c r="I9" s="16" t="n">
        <v>5</v>
      </c>
      <c r="J9" s="16" t="n">
        <f aca="false">SUMIF('P3 - Sous-tâches'!$A$2:$A$1000,A9,'P3 - Sous-tâches'!$E$2:$E$1000)</f>
        <v>14</v>
      </c>
      <c r="K9" s="16" t="n">
        <f aca="false">COUNTIF('P3 - Sous-tâches'!$A$2:$A$1000,A9)</f>
        <v>3</v>
      </c>
      <c r="L9" s="14" t="s">
        <v>91</v>
      </c>
      <c r="M9" s="14" t="s">
        <v>109</v>
      </c>
    </row>
    <row r="10" customFormat="false" ht="46.25" hidden="false" customHeight="false" outlineLevel="0" collapsed="false">
      <c r="A10" s="14" t="s">
        <v>110</v>
      </c>
      <c r="B10" s="14" t="s">
        <v>22</v>
      </c>
      <c r="C10" s="14" t="s">
        <v>64</v>
      </c>
      <c r="D10" s="14" t="s">
        <v>111</v>
      </c>
      <c r="E10" s="14" t="s">
        <v>112</v>
      </c>
      <c r="F10" s="14" t="s">
        <v>113</v>
      </c>
      <c r="G10" s="14" t="s">
        <v>114</v>
      </c>
      <c r="H10" s="15" t="s">
        <v>59</v>
      </c>
      <c r="I10" s="16" t="n">
        <v>8</v>
      </c>
      <c r="J10" s="16" t="n">
        <f aca="false">SUMIF('P3 - Sous-tâches'!$A$2:$A$1000,A10,'P3 - Sous-tâches'!$E$2:$E$1000)</f>
        <v>18</v>
      </c>
      <c r="K10" s="16" t="n">
        <f aca="false">COUNTIF('P3 - Sous-tâches'!$A$2:$A$1000,A10)</f>
        <v>4</v>
      </c>
      <c r="L10" s="14" t="s">
        <v>115</v>
      </c>
      <c r="M10" s="14" t="s">
        <v>116</v>
      </c>
    </row>
    <row r="11" customFormat="false" ht="46.25" hidden="false" customHeight="false" outlineLevel="0" collapsed="false">
      <c r="A11" s="14" t="s">
        <v>117</v>
      </c>
      <c r="B11" s="14" t="s">
        <v>22</v>
      </c>
      <c r="C11" s="14" t="s">
        <v>64</v>
      </c>
      <c r="D11" s="14" t="s">
        <v>118</v>
      </c>
      <c r="E11" s="14" t="s">
        <v>119</v>
      </c>
      <c r="F11" s="14" t="s">
        <v>120</v>
      </c>
      <c r="G11" s="14" t="s">
        <v>121</v>
      </c>
      <c r="H11" s="15" t="s">
        <v>59</v>
      </c>
      <c r="I11" s="16" t="n">
        <v>5</v>
      </c>
      <c r="J11" s="16" t="n">
        <f aca="false">SUMIF('P3 - Sous-tâches'!$A$2:$A$1000,A11,'P3 - Sous-tâches'!$E$2:$E$1000)</f>
        <v>9</v>
      </c>
      <c r="K11" s="16" t="n">
        <f aca="false">COUNTIF('P3 - Sous-tâches'!$A$2:$A$1000,A11)</f>
        <v>3</v>
      </c>
      <c r="L11" s="14" t="s">
        <v>115</v>
      </c>
      <c r="M11" s="14" t="s">
        <v>116</v>
      </c>
    </row>
    <row r="12" customFormat="false" ht="35.05" hidden="false" customHeight="false" outlineLevel="0" collapsed="false">
      <c r="A12" s="14" t="s">
        <v>122</v>
      </c>
      <c r="B12" s="14" t="s">
        <v>22</v>
      </c>
      <c r="C12" s="14" t="s">
        <v>64</v>
      </c>
      <c r="D12" s="14" t="s">
        <v>123</v>
      </c>
      <c r="E12" s="14" t="s">
        <v>124</v>
      </c>
      <c r="F12" s="14" t="s">
        <v>125</v>
      </c>
      <c r="G12" s="14" t="s">
        <v>126</v>
      </c>
      <c r="H12" s="15" t="s">
        <v>59</v>
      </c>
      <c r="I12" s="16" t="n">
        <v>8</v>
      </c>
      <c r="J12" s="16" t="n">
        <f aca="false">SUMIF('P3 - Sous-tâches'!$A$2:$A$1000,A12,'P3 - Sous-tâches'!$E$2:$E$1000)</f>
        <v>16</v>
      </c>
      <c r="K12" s="16" t="n">
        <f aca="false">COUNTIF('P3 - Sous-tâches'!$A$2:$A$1000,A12)</f>
        <v>4</v>
      </c>
      <c r="L12" s="14" t="s">
        <v>115</v>
      </c>
      <c r="M12" s="14" t="s">
        <v>116</v>
      </c>
    </row>
    <row r="13" customFormat="false" ht="35.05" hidden="false" customHeight="false" outlineLevel="0" collapsed="false">
      <c r="A13" s="14" t="s">
        <v>127</v>
      </c>
      <c r="B13" s="14" t="s">
        <v>22</v>
      </c>
      <c r="C13" s="14" t="s">
        <v>54</v>
      </c>
      <c r="D13" s="14" t="s">
        <v>128</v>
      </c>
      <c r="E13" s="14" t="s">
        <v>129</v>
      </c>
      <c r="F13" s="14" t="s">
        <v>130</v>
      </c>
      <c r="G13" s="14" t="s">
        <v>131</v>
      </c>
      <c r="H13" s="17" t="s">
        <v>76</v>
      </c>
      <c r="I13" s="16" t="n">
        <v>3</v>
      </c>
      <c r="J13" s="16" t="n">
        <f aca="false">SUMIF('P3 - Sous-tâches'!$A$2:$A$1000,A13,'P3 - Sous-tâches'!$E$2:$E$1000)</f>
        <v>8</v>
      </c>
      <c r="K13" s="16" t="n">
        <f aca="false">COUNTIF('P3 - Sous-tâches'!$A$2:$A$1000,A13)</f>
        <v>3</v>
      </c>
      <c r="L13" s="14" t="s">
        <v>115</v>
      </c>
      <c r="M13" s="14" t="s">
        <v>132</v>
      </c>
    </row>
    <row r="14" customFormat="false" ht="23.85" hidden="false" customHeight="false" outlineLevel="0" collapsed="false">
      <c r="A14" s="14" t="s">
        <v>133</v>
      </c>
      <c r="B14" s="14" t="s">
        <v>134</v>
      </c>
      <c r="C14" s="14" t="s">
        <v>64</v>
      </c>
      <c r="D14" s="14" t="s">
        <v>135</v>
      </c>
      <c r="E14" s="14" t="s">
        <v>136</v>
      </c>
      <c r="F14" s="14" t="s">
        <v>137</v>
      </c>
      <c r="G14" s="14" t="s">
        <v>138</v>
      </c>
      <c r="H14" s="17" t="s">
        <v>76</v>
      </c>
      <c r="I14" s="16" t="n">
        <v>3</v>
      </c>
      <c r="J14" s="16" t="n">
        <f aca="false">SUMIF('P3 - Sous-tâches'!$A$2:$A$1000,A14,'P3 - Sous-tâches'!$E$2:$E$1000)</f>
        <v>7</v>
      </c>
      <c r="K14" s="16" t="n">
        <f aca="false">COUNTIF('P3 - Sous-tâches'!$A$2:$A$1000,A14)</f>
        <v>3</v>
      </c>
      <c r="L14" s="14" t="s">
        <v>115</v>
      </c>
      <c r="M14" s="14" t="s">
        <v>92</v>
      </c>
    </row>
    <row r="15" customFormat="false" ht="35.05" hidden="false" customHeight="false" outlineLevel="0" collapsed="false">
      <c r="A15" s="14" t="s">
        <v>139</v>
      </c>
      <c r="B15" s="14" t="s">
        <v>140</v>
      </c>
      <c r="C15" s="14" t="s">
        <v>64</v>
      </c>
      <c r="D15" s="14" t="s">
        <v>141</v>
      </c>
      <c r="E15" s="14" t="s">
        <v>142</v>
      </c>
      <c r="F15" s="14" t="s">
        <v>143</v>
      </c>
      <c r="G15" s="14" t="s">
        <v>144</v>
      </c>
      <c r="H15" s="17" t="s">
        <v>76</v>
      </c>
      <c r="I15" s="16" t="n">
        <v>5</v>
      </c>
      <c r="J15" s="16" t="n">
        <f aca="false">SUMIF('P3 - Sous-tâches'!$A$2:$A$1000,A15,'P3 - Sous-tâches'!$E$2:$E$1000)</f>
        <v>11</v>
      </c>
      <c r="K15" s="16" t="n">
        <f aca="false">COUNTIF('P3 - Sous-tâches'!$A$2:$A$1000,A15)</f>
        <v>3</v>
      </c>
      <c r="L15" s="14" t="s">
        <v>145</v>
      </c>
      <c r="M15" s="14" t="s">
        <v>146</v>
      </c>
    </row>
    <row r="16" customFormat="false" ht="35.05" hidden="false" customHeight="false" outlineLevel="0" collapsed="false">
      <c r="A16" s="14" t="s">
        <v>147</v>
      </c>
      <c r="B16" s="14" t="s">
        <v>140</v>
      </c>
      <c r="C16" s="14" t="s">
        <v>64</v>
      </c>
      <c r="D16" s="14" t="s">
        <v>148</v>
      </c>
      <c r="E16" s="14" t="s">
        <v>149</v>
      </c>
      <c r="F16" s="14" t="s">
        <v>150</v>
      </c>
      <c r="G16" s="14" t="s">
        <v>151</v>
      </c>
      <c r="H16" s="17" t="s">
        <v>76</v>
      </c>
      <c r="I16" s="16" t="n">
        <v>5</v>
      </c>
      <c r="J16" s="16" t="n">
        <f aca="false">SUMIF('P3 - Sous-tâches'!$A$2:$A$1000,A16,'P3 - Sous-tâches'!$E$2:$E$1000)</f>
        <v>13</v>
      </c>
      <c r="K16" s="16" t="n">
        <f aca="false">COUNTIF('P3 - Sous-tâches'!$A$2:$A$1000,A16)</f>
        <v>3</v>
      </c>
      <c r="L16" s="14" t="s">
        <v>145</v>
      </c>
      <c r="M16" s="14" t="s">
        <v>146</v>
      </c>
    </row>
    <row r="17" customFormat="false" ht="35.05" hidden="false" customHeight="false" outlineLevel="0" collapsed="false">
      <c r="A17" s="14" t="s">
        <v>152</v>
      </c>
      <c r="B17" s="14" t="s">
        <v>140</v>
      </c>
      <c r="C17" s="14" t="s">
        <v>64</v>
      </c>
      <c r="D17" s="14" t="s">
        <v>153</v>
      </c>
      <c r="E17" s="14" t="s">
        <v>154</v>
      </c>
      <c r="F17" s="14" t="s">
        <v>155</v>
      </c>
      <c r="G17" s="14" t="s">
        <v>156</v>
      </c>
      <c r="H17" s="18" t="s">
        <v>157</v>
      </c>
      <c r="I17" s="16" t="n">
        <v>3</v>
      </c>
      <c r="J17" s="16" t="n">
        <f aca="false">SUMIF('P3 - Sous-tâches'!$A$2:$A$1000,A17,'P3 - Sous-tâches'!$E$2:$E$1000)</f>
        <v>7</v>
      </c>
      <c r="K17" s="16" t="n">
        <f aca="false">COUNTIF('P3 - Sous-tâches'!$A$2:$A$1000,A17)</f>
        <v>3</v>
      </c>
      <c r="L17" s="14" t="s">
        <v>145</v>
      </c>
      <c r="M17" s="14" t="s">
        <v>158</v>
      </c>
    </row>
    <row r="18" customFormat="false" ht="35.05" hidden="false" customHeight="false" outlineLevel="0" collapsed="false">
      <c r="A18" s="14" t="s">
        <v>159</v>
      </c>
      <c r="B18" s="14" t="s">
        <v>160</v>
      </c>
      <c r="C18" s="14" t="s">
        <v>64</v>
      </c>
      <c r="D18" s="14" t="s">
        <v>161</v>
      </c>
      <c r="E18" s="14" t="s">
        <v>162</v>
      </c>
      <c r="F18" s="14" t="s">
        <v>163</v>
      </c>
      <c r="G18" s="14" t="s">
        <v>164</v>
      </c>
      <c r="H18" s="17" t="s">
        <v>76</v>
      </c>
      <c r="I18" s="16" t="n">
        <v>5</v>
      </c>
      <c r="J18" s="16" t="n">
        <f aca="false">SUMIF('P3 - Sous-tâches'!$A$2:$A$1000,A18,'P3 - Sous-tâches'!$E$2:$E$1000)</f>
        <v>14</v>
      </c>
      <c r="K18" s="16" t="n">
        <f aca="false">COUNTIF('P3 - Sous-tâches'!$A$2:$A$1000,A18)</f>
        <v>4</v>
      </c>
      <c r="L18" s="14" t="s">
        <v>145</v>
      </c>
      <c r="M18" s="14" t="s">
        <v>165</v>
      </c>
    </row>
    <row r="19" customFormat="false" ht="35.05" hidden="false" customHeight="false" outlineLevel="0" collapsed="false">
      <c r="A19" s="14" t="s">
        <v>166</v>
      </c>
      <c r="B19" s="14" t="s">
        <v>167</v>
      </c>
      <c r="C19" s="14" t="s">
        <v>64</v>
      </c>
      <c r="D19" s="14" t="s">
        <v>168</v>
      </c>
      <c r="E19" s="14" t="s">
        <v>169</v>
      </c>
      <c r="F19" s="14" t="s">
        <v>170</v>
      </c>
      <c r="G19" s="14" t="s">
        <v>171</v>
      </c>
      <c r="H19" s="17" t="s">
        <v>76</v>
      </c>
      <c r="I19" s="16" t="n">
        <v>5</v>
      </c>
      <c r="J19" s="16" t="n">
        <f aca="false">SUMIF('P3 - Sous-tâches'!$A$2:$A$1000,A19,'P3 - Sous-tâches'!$E$2:$E$1000)</f>
        <v>10</v>
      </c>
      <c r="K19" s="16" t="n">
        <f aca="false">COUNTIF('P3 - Sous-tâches'!$A$2:$A$1000,A19)</f>
        <v>3</v>
      </c>
      <c r="L19" s="14" t="s">
        <v>145</v>
      </c>
      <c r="M19" s="14" t="s">
        <v>69</v>
      </c>
    </row>
    <row r="20" customFormat="false" ht="23.85" hidden="false" customHeight="false" outlineLevel="0" collapsed="false">
      <c r="A20" s="14" t="s">
        <v>172</v>
      </c>
      <c r="B20" s="14" t="s">
        <v>173</v>
      </c>
      <c r="C20" s="14" t="s">
        <v>64</v>
      </c>
      <c r="D20" s="14" t="s">
        <v>174</v>
      </c>
      <c r="E20" s="14" t="s">
        <v>175</v>
      </c>
      <c r="F20" s="14" t="s">
        <v>176</v>
      </c>
      <c r="G20" s="14" t="s">
        <v>177</v>
      </c>
      <c r="H20" s="18" t="s">
        <v>157</v>
      </c>
      <c r="I20" s="16" t="n">
        <v>3</v>
      </c>
      <c r="J20" s="16" t="n">
        <f aca="false">SUMIF('P3 - Sous-tâches'!$A$2:$A$1000,A20,'P3 - Sous-tâches'!$E$2:$E$1000)</f>
        <v>6</v>
      </c>
      <c r="K20" s="16" t="n">
        <f aca="false">COUNTIF('P3 - Sous-tâches'!$A$2:$A$1000,A20)</f>
        <v>2</v>
      </c>
      <c r="L20" s="14" t="s">
        <v>145</v>
      </c>
      <c r="M20" s="14" t="s">
        <v>178</v>
      </c>
    </row>
    <row r="21" customFormat="false" ht="35.05" hidden="false" customHeight="false" outlineLevel="0" collapsed="false">
      <c r="A21" s="14" t="s">
        <v>179</v>
      </c>
      <c r="B21" s="14" t="s">
        <v>180</v>
      </c>
      <c r="C21" s="14" t="s">
        <v>64</v>
      </c>
      <c r="D21" s="14" t="s">
        <v>181</v>
      </c>
      <c r="E21" s="14" t="s">
        <v>182</v>
      </c>
      <c r="F21" s="14" t="s">
        <v>183</v>
      </c>
      <c r="G21" s="14" t="s">
        <v>184</v>
      </c>
      <c r="H21" s="18" t="s">
        <v>157</v>
      </c>
      <c r="I21" s="16" t="n">
        <v>5</v>
      </c>
      <c r="J21" s="16" t="n">
        <f aca="false">SUMIF('P3 - Sous-tâches'!$A$2:$A$1000,A21,'P3 - Sous-tâches'!$E$2:$E$1000)</f>
        <v>14</v>
      </c>
      <c r="K21" s="16" t="n">
        <f aca="false">COUNTIF('P3 - Sous-tâches'!$A$2:$A$1000,A21)</f>
        <v>3</v>
      </c>
      <c r="L21" s="14" t="s">
        <v>145</v>
      </c>
      <c r="M21" s="14" t="s">
        <v>77</v>
      </c>
    </row>
    <row r="22" customFormat="false" ht="23.85" hidden="false" customHeight="false" outlineLevel="0" collapsed="false">
      <c r="A22" s="14" t="s">
        <v>185</v>
      </c>
      <c r="B22" s="14" t="s">
        <v>186</v>
      </c>
      <c r="C22" s="14" t="s">
        <v>54</v>
      </c>
      <c r="D22" s="14" t="s">
        <v>187</v>
      </c>
      <c r="E22" s="14" t="s">
        <v>188</v>
      </c>
      <c r="F22" s="14" t="s">
        <v>189</v>
      </c>
      <c r="G22" s="14" t="s">
        <v>190</v>
      </c>
      <c r="H22" s="17" t="s">
        <v>76</v>
      </c>
      <c r="I22" s="16" t="n">
        <v>5</v>
      </c>
      <c r="J22" s="16" t="n">
        <f aca="false">SUMIF('P3 - Sous-tâches'!$A$2:$A$1000,A22,'P3 - Sous-tâches'!$E$2:$E$1000)</f>
        <v>10</v>
      </c>
      <c r="K22" s="16" t="n">
        <f aca="false">COUNTIF('P3 - Sous-tâches'!$A$2:$A$1000,A22)</f>
        <v>2</v>
      </c>
      <c r="L22" s="14" t="s">
        <v>186</v>
      </c>
      <c r="M22" s="14" t="s">
        <v>191</v>
      </c>
    </row>
    <row r="23" customFormat="false" ht="23.85" hidden="false" customHeight="false" outlineLevel="0" collapsed="false">
      <c r="A23" s="14" t="s">
        <v>192</v>
      </c>
      <c r="B23" s="14" t="s">
        <v>193</v>
      </c>
      <c r="C23" s="14" t="s">
        <v>41</v>
      </c>
      <c r="D23" s="14" t="s">
        <v>194</v>
      </c>
      <c r="E23" s="14" t="s">
        <v>195</v>
      </c>
      <c r="F23" s="14" t="s">
        <v>196</v>
      </c>
      <c r="G23" s="14" t="s">
        <v>197</v>
      </c>
      <c r="H23" s="19" t="s">
        <v>198</v>
      </c>
      <c r="I23" s="16" t="n">
        <v>8</v>
      </c>
      <c r="J23" s="16" t="n">
        <f aca="false">SUMIF('P3 - Sous-tâches'!$A$2:$A$1000,A23,'P3 - Sous-tâches'!$E$2:$E$1000)</f>
        <v>16</v>
      </c>
      <c r="K23" s="16" t="n">
        <f aca="false">COUNTIF('P3 - Sous-tâches'!$A$2:$A$1000,A23)</f>
        <v>2</v>
      </c>
      <c r="L23" s="14" t="s">
        <v>199</v>
      </c>
      <c r="M23" s="14" t="s">
        <v>165</v>
      </c>
    </row>
    <row r="24" customFormat="false" ht="23.85" hidden="false" customHeight="false" outlineLevel="0" collapsed="false">
      <c r="A24" s="14" t="s">
        <v>200</v>
      </c>
      <c r="B24" s="14" t="s">
        <v>193</v>
      </c>
      <c r="C24" s="14" t="s">
        <v>41</v>
      </c>
      <c r="D24" s="14" t="s">
        <v>201</v>
      </c>
      <c r="E24" s="14" t="s">
        <v>202</v>
      </c>
      <c r="F24" s="14" t="s">
        <v>203</v>
      </c>
      <c r="G24" s="14" t="s">
        <v>204</v>
      </c>
      <c r="H24" s="19" t="s">
        <v>198</v>
      </c>
      <c r="I24" s="16" t="n">
        <v>5</v>
      </c>
      <c r="J24" s="16" t="n">
        <f aca="false">SUMIF('P3 - Sous-tâches'!$A$2:$A$1000,A24,'P3 - Sous-tâches'!$E$2:$E$1000)</f>
        <v>8</v>
      </c>
      <c r="K24" s="16" t="n">
        <f aca="false">COUNTIF('P3 - Sous-tâches'!$A$2:$A$1000,A24)</f>
        <v>2</v>
      </c>
      <c r="L24" s="14" t="s">
        <v>199</v>
      </c>
      <c r="M24" s="14" t="s">
        <v>61</v>
      </c>
    </row>
    <row r="25" customFormat="false" ht="23.85" hidden="false" customHeight="false" outlineLevel="0" collapsed="false">
      <c r="A25" s="14" t="s">
        <v>205</v>
      </c>
      <c r="B25" s="14" t="s">
        <v>206</v>
      </c>
      <c r="C25" s="14" t="s">
        <v>41</v>
      </c>
      <c r="D25" s="14" t="s">
        <v>207</v>
      </c>
      <c r="E25" s="14" t="s">
        <v>208</v>
      </c>
      <c r="F25" s="14" t="s">
        <v>209</v>
      </c>
      <c r="G25" s="14" t="s">
        <v>210</v>
      </c>
      <c r="H25" s="19" t="s">
        <v>198</v>
      </c>
      <c r="I25" s="16" t="n">
        <v>8</v>
      </c>
      <c r="J25" s="16" t="n">
        <f aca="false">SUMIF('P3 - Sous-tâches'!$A$2:$A$1000,A25,'P3 - Sous-tâches'!$E$2:$E$1000)</f>
        <v>14</v>
      </c>
      <c r="K25" s="16" t="n">
        <f aca="false">COUNTIF('P3 - Sous-tâches'!$A$2:$A$1000,A25)</f>
        <v>2</v>
      </c>
      <c r="L25" s="14" t="s">
        <v>199</v>
      </c>
      <c r="M25" s="14" t="s">
        <v>211</v>
      </c>
    </row>
  </sheetData>
  <autoFilter ref="A1:M25"/>
  <dataValidations count="2">
    <dataValidation allowBlank="false" errorStyle="stop" operator="between" showDropDown="false" showErrorMessage="false" showInputMessage="false" sqref="H2:H25" type="list">
      <formula1>"Critique,Haute,Moyenne,Basse"</formula1>
      <formula2>0</formula2>
    </dataValidation>
    <dataValidation allowBlank="false" errorStyle="stop" operator="between" showDropDown="false" showErrorMessage="false" showInputMessage="false" sqref="C2:C25" type="list">
      <formula1>"Epic,Story,Tâche,Bug"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9"/>
    <col collapsed="false" customWidth="true" hidden="false" outlineLevel="0" max="4" min="4" style="0" width="60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6"/>
  </cols>
  <sheetData>
    <row r="1" customFormat="false" ht="31.5" hidden="false" customHeight="true" outlineLevel="0" collapsed="false">
      <c r="A1" s="20" t="s">
        <v>212</v>
      </c>
      <c r="B1" s="20" t="s">
        <v>213</v>
      </c>
      <c r="C1" s="20" t="s">
        <v>13</v>
      </c>
      <c r="D1" s="20" t="s">
        <v>214</v>
      </c>
      <c r="E1" s="20" t="s">
        <v>215</v>
      </c>
      <c r="F1" s="20" t="s">
        <v>216</v>
      </c>
      <c r="G1" s="20" t="s">
        <v>217</v>
      </c>
    </row>
    <row r="2" customFormat="false" ht="15" hidden="false" customHeight="false" outlineLevel="0" collapsed="false">
      <c r="A2" s="14" t="s">
        <v>52</v>
      </c>
      <c r="B2" s="14" t="s">
        <v>218</v>
      </c>
      <c r="C2" s="16" t="s">
        <v>28</v>
      </c>
      <c r="D2" s="14" t="s">
        <v>219</v>
      </c>
      <c r="E2" s="21" t="n">
        <v>3</v>
      </c>
      <c r="F2" s="16" t="s">
        <v>220</v>
      </c>
      <c r="G2" s="14"/>
    </row>
    <row r="3" customFormat="false" ht="15" hidden="false" customHeight="false" outlineLevel="0" collapsed="false">
      <c r="A3" s="14" t="s">
        <v>52</v>
      </c>
      <c r="B3" s="14" t="s">
        <v>221</v>
      </c>
      <c r="C3" s="16" t="s">
        <v>28</v>
      </c>
      <c r="D3" s="14" t="s">
        <v>222</v>
      </c>
      <c r="E3" s="21" t="n">
        <v>4</v>
      </c>
      <c r="F3" s="16" t="s">
        <v>220</v>
      </c>
      <c r="G3" s="14"/>
    </row>
    <row r="4" customFormat="false" ht="15" hidden="false" customHeight="false" outlineLevel="0" collapsed="false">
      <c r="A4" s="14" t="s">
        <v>52</v>
      </c>
      <c r="B4" s="14" t="s">
        <v>223</v>
      </c>
      <c r="C4" s="16" t="s">
        <v>28</v>
      </c>
      <c r="D4" s="14" t="s">
        <v>224</v>
      </c>
      <c r="E4" s="21" t="n">
        <v>4</v>
      </c>
      <c r="F4" s="16" t="s">
        <v>220</v>
      </c>
      <c r="G4" s="14"/>
    </row>
    <row r="5" customFormat="false" ht="15" hidden="false" customHeight="false" outlineLevel="0" collapsed="false">
      <c r="A5" s="14" t="s">
        <v>62</v>
      </c>
      <c r="B5" s="14" t="s">
        <v>225</v>
      </c>
      <c r="C5" s="16" t="s">
        <v>16</v>
      </c>
      <c r="D5" s="14" t="s">
        <v>226</v>
      </c>
      <c r="E5" s="21" t="n">
        <v>6</v>
      </c>
      <c r="F5" s="16" t="s">
        <v>220</v>
      </c>
      <c r="G5" s="14"/>
    </row>
    <row r="6" customFormat="false" ht="15" hidden="false" customHeight="false" outlineLevel="0" collapsed="false">
      <c r="A6" s="14" t="s">
        <v>62</v>
      </c>
      <c r="B6" s="14" t="s">
        <v>227</v>
      </c>
      <c r="C6" s="16" t="s">
        <v>16</v>
      </c>
      <c r="D6" s="14" t="s">
        <v>228</v>
      </c>
      <c r="E6" s="21" t="n">
        <v>4</v>
      </c>
      <c r="F6" s="16" t="s">
        <v>220</v>
      </c>
      <c r="G6" s="14"/>
    </row>
    <row r="7" customFormat="false" ht="15" hidden="false" customHeight="false" outlineLevel="0" collapsed="false">
      <c r="A7" s="14" t="s">
        <v>62</v>
      </c>
      <c r="B7" s="14" t="s">
        <v>229</v>
      </c>
      <c r="C7" s="16" t="s">
        <v>18</v>
      </c>
      <c r="D7" s="14" t="s">
        <v>230</v>
      </c>
      <c r="E7" s="21" t="n">
        <v>5</v>
      </c>
      <c r="F7" s="16" t="s">
        <v>220</v>
      </c>
      <c r="G7" s="14"/>
    </row>
    <row r="8" customFormat="false" ht="15" hidden="false" customHeight="false" outlineLevel="0" collapsed="false">
      <c r="A8" s="14" t="s">
        <v>62</v>
      </c>
      <c r="B8" s="14" t="s">
        <v>231</v>
      </c>
      <c r="C8" s="16" t="s">
        <v>30</v>
      </c>
      <c r="D8" s="14" t="s">
        <v>232</v>
      </c>
      <c r="E8" s="21" t="n">
        <v>3</v>
      </c>
      <c r="F8" s="16" t="s">
        <v>220</v>
      </c>
      <c r="G8" s="14"/>
    </row>
    <row r="9" customFormat="false" ht="15" hidden="false" customHeight="false" outlineLevel="0" collapsed="false">
      <c r="A9" s="14" t="s">
        <v>70</v>
      </c>
      <c r="B9" s="14" t="s">
        <v>233</v>
      </c>
      <c r="C9" s="16" t="s">
        <v>16</v>
      </c>
      <c r="D9" s="14" t="s">
        <v>234</v>
      </c>
      <c r="E9" s="21" t="n">
        <v>5</v>
      </c>
      <c r="F9" s="16" t="s">
        <v>220</v>
      </c>
      <c r="G9" s="14"/>
    </row>
    <row r="10" customFormat="false" ht="15" hidden="false" customHeight="false" outlineLevel="0" collapsed="false">
      <c r="A10" s="14" t="s">
        <v>70</v>
      </c>
      <c r="B10" s="14" t="s">
        <v>235</v>
      </c>
      <c r="C10" s="16" t="s">
        <v>16</v>
      </c>
      <c r="D10" s="14" t="s">
        <v>236</v>
      </c>
      <c r="E10" s="21" t="n">
        <v>2</v>
      </c>
      <c r="F10" s="16" t="s">
        <v>220</v>
      </c>
      <c r="G10" s="14"/>
    </row>
    <row r="11" customFormat="false" ht="15" hidden="false" customHeight="false" outlineLevel="0" collapsed="false">
      <c r="A11" s="14" t="s">
        <v>70</v>
      </c>
      <c r="B11" s="14" t="s">
        <v>237</v>
      </c>
      <c r="C11" s="16" t="s">
        <v>18</v>
      </c>
      <c r="D11" s="14" t="s">
        <v>238</v>
      </c>
      <c r="E11" s="21" t="n">
        <v>4</v>
      </c>
      <c r="F11" s="16" t="s">
        <v>220</v>
      </c>
      <c r="G11" s="14"/>
    </row>
    <row r="12" customFormat="false" ht="15" hidden="false" customHeight="false" outlineLevel="0" collapsed="false">
      <c r="A12" s="14" t="s">
        <v>78</v>
      </c>
      <c r="B12" s="14" t="s">
        <v>239</v>
      </c>
      <c r="C12" s="16" t="s">
        <v>28</v>
      </c>
      <c r="D12" s="14" t="s">
        <v>240</v>
      </c>
      <c r="E12" s="21" t="n">
        <v>6</v>
      </c>
      <c r="F12" s="16" t="s">
        <v>220</v>
      </c>
      <c r="G12" s="14"/>
    </row>
    <row r="13" customFormat="false" ht="15" hidden="false" customHeight="false" outlineLevel="0" collapsed="false">
      <c r="A13" s="14" t="s">
        <v>78</v>
      </c>
      <c r="B13" s="14" t="s">
        <v>241</v>
      </c>
      <c r="C13" s="16" t="s">
        <v>16</v>
      </c>
      <c r="D13" s="14" t="s">
        <v>242</v>
      </c>
      <c r="E13" s="21" t="n">
        <v>6</v>
      </c>
      <c r="F13" s="16" t="s">
        <v>220</v>
      </c>
      <c r="G13" s="14"/>
    </row>
    <row r="14" customFormat="false" ht="15" hidden="false" customHeight="false" outlineLevel="0" collapsed="false">
      <c r="A14" s="14" t="s">
        <v>78</v>
      </c>
      <c r="B14" s="14" t="s">
        <v>243</v>
      </c>
      <c r="C14" s="16" t="s">
        <v>30</v>
      </c>
      <c r="D14" s="14" t="s">
        <v>244</v>
      </c>
      <c r="E14" s="21" t="n">
        <v>3</v>
      </c>
      <c r="F14" s="16" t="s">
        <v>220</v>
      </c>
      <c r="G14" s="14"/>
    </row>
    <row r="15" customFormat="false" ht="15" hidden="false" customHeight="false" outlineLevel="0" collapsed="false">
      <c r="A15" s="14" t="s">
        <v>85</v>
      </c>
      <c r="B15" s="14" t="s">
        <v>245</v>
      </c>
      <c r="C15" s="16" t="s">
        <v>16</v>
      </c>
      <c r="D15" s="14" t="s">
        <v>246</v>
      </c>
      <c r="E15" s="21" t="n">
        <v>6</v>
      </c>
      <c r="F15" s="16" t="s">
        <v>220</v>
      </c>
      <c r="G15" s="14"/>
    </row>
    <row r="16" customFormat="false" ht="15" hidden="false" customHeight="false" outlineLevel="0" collapsed="false">
      <c r="A16" s="14" t="s">
        <v>85</v>
      </c>
      <c r="B16" s="14" t="s">
        <v>247</v>
      </c>
      <c r="C16" s="16" t="s">
        <v>16</v>
      </c>
      <c r="D16" s="14" t="s">
        <v>248</v>
      </c>
      <c r="E16" s="21" t="n">
        <v>4</v>
      </c>
      <c r="F16" s="16" t="s">
        <v>220</v>
      </c>
      <c r="G16" s="14"/>
    </row>
    <row r="17" customFormat="false" ht="15" hidden="false" customHeight="false" outlineLevel="0" collapsed="false">
      <c r="A17" s="14" t="s">
        <v>85</v>
      </c>
      <c r="B17" s="14" t="s">
        <v>249</v>
      </c>
      <c r="C17" s="16" t="s">
        <v>16</v>
      </c>
      <c r="D17" s="14" t="s">
        <v>250</v>
      </c>
      <c r="E17" s="21" t="n">
        <v>4</v>
      </c>
      <c r="F17" s="16" t="s">
        <v>220</v>
      </c>
      <c r="G17" s="14"/>
    </row>
    <row r="18" customFormat="false" ht="15" hidden="false" customHeight="false" outlineLevel="0" collapsed="false">
      <c r="A18" s="14" t="s">
        <v>85</v>
      </c>
      <c r="B18" s="14" t="s">
        <v>251</v>
      </c>
      <c r="C18" s="16" t="s">
        <v>30</v>
      </c>
      <c r="D18" s="14" t="s">
        <v>252</v>
      </c>
      <c r="E18" s="21" t="n">
        <v>4</v>
      </c>
      <c r="F18" s="16" t="s">
        <v>220</v>
      </c>
      <c r="G18" s="14"/>
    </row>
    <row r="19" customFormat="false" ht="15" hidden="false" customHeight="false" outlineLevel="0" collapsed="false">
      <c r="A19" s="14" t="s">
        <v>93</v>
      </c>
      <c r="B19" s="14" t="s">
        <v>253</v>
      </c>
      <c r="C19" s="16" t="s">
        <v>16</v>
      </c>
      <c r="D19" s="14" t="s">
        <v>254</v>
      </c>
      <c r="E19" s="21" t="n">
        <v>4</v>
      </c>
      <c r="F19" s="16" t="s">
        <v>220</v>
      </c>
      <c r="G19" s="14"/>
    </row>
    <row r="20" customFormat="false" ht="15" hidden="false" customHeight="false" outlineLevel="0" collapsed="false">
      <c r="A20" s="14" t="s">
        <v>93</v>
      </c>
      <c r="B20" s="14" t="s">
        <v>255</v>
      </c>
      <c r="C20" s="16" t="s">
        <v>16</v>
      </c>
      <c r="D20" s="14" t="s">
        <v>256</v>
      </c>
      <c r="E20" s="21" t="n">
        <v>3</v>
      </c>
      <c r="F20" s="16" t="s">
        <v>220</v>
      </c>
      <c r="G20" s="14"/>
    </row>
    <row r="21" customFormat="false" ht="15" hidden="false" customHeight="false" outlineLevel="0" collapsed="false">
      <c r="A21" s="14" t="s">
        <v>93</v>
      </c>
      <c r="B21" s="14" t="s">
        <v>257</v>
      </c>
      <c r="C21" s="16" t="s">
        <v>30</v>
      </c>
      <c r="D21" s="14" t="s">
        <v>258</v>
      </c>
      <c r="E21" s="21" t="n">
        <v>2</v>
      </c>
      <c r="F21" s="16" t="s">
        <v>220</v>
      </c>
      <c r="G21" s="14"/>
    </row>
    <row r="22" customFormat="false" ht="15" hidden="false" customHeight="false" outlineLevel="0" collapsed="false">
      <c r="A22" s="14" t="s">
        <v>99</v>
      </c>
      <c r="B22" s="14" t="s">
        <v>259</v>
      </c>
      <c r="C22" s="16" t="s">
        <v>16</v>
      </c>
      <c r="D22" s="14" t="s">
        <v>260</v>
      </c>
      <c r="E22" s="21" t="n">
        <v>5</v>
      </c>
      <c r="F22" s="16" t="s">
        <v>220</v>
      </c>
      <c r="G22" s="14"/>
    </row>
    <row r="23" customFormat="false" ht="15" hidden="false" customHeight="false" outlineLevel="0" collapsed="false">
      <c r="A23" s="14" t="s">
        <v>99</v>
      </c>
      <c r="B23" s="14" t="s">
        <v>261</v>
      </c>
      <c r="C23" s="16" t="s">
        <v>16</v>
      </c>
      <c r="D23" s="14" t="s">
        <v>262</v>
      </c>
      <c r="E23" s="21" t="n">
        <v>4</v>
      </c>
      <c r="F23" s="16" t="s">
        <v>220</v>
      </c>
      <c r="G23" s="14"/>
    </row>
    <row r="24" customFormat="false" ht="15" hidden="false" customHeight="false" outlineLevel="0" collapsed="false">
      <c r="A24" s="14" t="s">
        <v>99</v>
      </c>
      <c r="B24" s="14" t="s">
        <v>263</v>
      </c>
      <c r="C24" s="16" t="s">
        <v>18</v>
      </c>
      <c r="D24" s="14" t="s">
        <v>264</v>
      </c>
      <c r="E24" s="21" t="n">
        <v>3</v>
      </c>
      <c r="F24" s="16" t="s">
        <v>220</v>
      </c>
      <c r="G24" s="14"/>
    </row>
    <row r="25" customFormat="false" ht="15" hidden="false" customHeight="false" outlineLevel="0" collapsed="false">
      <c r="A25" s="14" t="s">
        <v>104</v>
      </c>
      <c r="B25" s="14" t="s">
        <v>265</v>
      </c>
      <c r="C25" s="16" t="s">
        <v>30</v>
      </c>
      <c r="D25" s="14" t="s">
        <v>266</v>
      </c>
      <c r="E25" s="21" t="n">
        <v>8</v>
      </c>
      <c r="F25" s="16" t="s">
        <v>220</v>
      </c>
      <c r="G25" s="14"/>
    </row>
    <row r="26" customFormat="false" ht="15" hidden="false" customHeight="false" outlineLevel="0" collapsed="false">
      <c r="A26" s="14" t="s">
        <v>104</v>
      </c>
      <c r="B26" s="14" t="s">
        <v>267</v>
      </c>
      <c r="C26" s="16" t="s">
        <v>30</v>
      </c>
      <c r="D26" s="14" t="s">
        <v>268</v>
      </c>
      <c r="E26" s="21" t="n">
        <v>4</v>
      </c>
      <c r="F26" s="16" t="s">
        <v>220</v>
      </c>
      <c r="G26" s="14"/>
    </row>
    <row r="27" customFormat="false" ht="15" hidden="false" customHeight="false" outlineLevel="0" collapsed="false">
      <c r="A27" s="14" t="s">
        <v>104</v>
      </c>
      <c r="B27" s="14" t="s">
        <v>269</v>
      </c>
      <c r="C27" s="16" t="s">
        <v>28</v>
      </c>
      <c r="D27" s="14" t="s">
        <v>270</v>
      </c>
      <c r="E27" s="21" t="n">
        <v>2</v>
      </c>
      <c r="F27" s="16" t="s">
        <v>220</v>
      </c>
      <c r="G27" s="14"/>
    </row>
    <row r="28" customFormat="false" ht="15" hidden="false" customHeight="false" outlineLevel="0" collapsed="false">
      <c r="A28" s="14" t="s">
        <v>110</v>
      </c>
      <c r="B28" s="14" t="s">
        <v>271</v>
      </c>
      <c r="C28" s="16" t="s">
        <v>16</v>
      </c>
      <c r="D28" s="14" t="s">
        <v>272</v>
      </c>
      <c r="E28" s="21" t="n">
        <v>8</v>
      </c>
      <c r="F28" s="16" t="s">
        <v>220</v>
      </c>
      <c r="G28" s="14"/>
    </row>
    <row r="29" customFormat="false" ht="15" hidden="false" customHeight="false" outlineLevel="0" collapsed="false">
      <c r="A29" s="14" t="s">
        <v>110</v>
      </c>
      <c r="B29" s="14" t="s">
        <v>273</v>
      </c>
      <c r="C29" s="16" t="s">
        <v>22</v>
      </c>
      <c r="D29" s="14" t="s">
        <v>274</v>
      </c>
      <c r="E29" s="21" t="n">
        <v>4</v>
      </c>
      <c r="F29" s="16" t="s">
        <v>220</v>
      </c>
      <c r="G29" s="14"/>
    </row>
    <row r="30" customFormat="false" ht="15" hidden="false" customHeight="false" outlineLevel="0" collapsed="false">
      <c r="A30" s="14" t="s">
        <v>110</v>
      </c>
      <c r="B30" s="14" t="s">
        <v>275</v>
      </c>
      <c r="C30" s="16" t="s">
        <v>16</v>
      </c>
      <c r="D30" s="14" t="s">
        <v>276</v>
      </c>
      <c r="E30" s="21" t="n">
        <v>3</v>
      </c>
      <c r="F30" s="16" t="s">
        <v>220</v>
      </c>
      <c r="G30" s="14"/>
    </row>
    <row r="31" customFormat="false" ht="15" hidden="false" customHeight="false" outlineLevel="0" collapsed="false">
      <c r="A31" s="14" t="s">
        <v>110</v>
      </c>
      <c r="B31" s="14" t="s">
        <v>277</v>
      </c>
      <c r="C31" s="16" t="s">
        <v>30</v>
      </c>
      <c r="D31" s="14" t="s">
        <v>278</v>
      </c>
      <c r="E31" s="21" t="n">
        <v>3</v>
      </c>
      <c r="F31" s="16" t="s">
        <v>220</v>
      </c>
      <c r="G31" s="14"/>
    </row>
    <row r="32" customFormat="false" ht="15" hidden="false" customHeight="false" outlineLevel="0" collapsed="false">
      <c r="A32" s="14" t="s">
        <v>117</v>
      </c>
      <c r="B32" s="14" t="s">
        <v>279</v>
      </c>
      <c r="C32" s="16" t="s">
        <v>22</v>
      </c>
      <c r="D32" s="14" t="s">
        <v>280</v>
      </c>
      <c r="E32" s="21" t="n">
        <v>4</v>
      </c>
      <c r="F32" s="16" t="s">
        <v>220</v>
      </c>
      <c r="G32" s="14"/>
    </row>
    <row r="33" customFormat="false" ht="15" hidden="false" customHeight="false" outlineLevel="0" collapsed="false">
      <c r="A33" s="14" t="s">
        <v>117</v>
      </c>
      <c r="B33" s="14" t="s">
        <v>281</v>
      </c>
      <c r="C33" s="16" t="s">
        <v>16</v>
      </c>
      <c r="D33" s="14" t="s">
        <v>282</v>
      </c>
      <c r="E33" s="21" t="n">
        <v>2</v>
      </c>
      <c r="F33" s="16" t="s">
        <v>220</v>
      </c>
      <c r="G33" s="14"/>
    </row>
    <row r="34" customFormat="false" ht="15" hidden="false" customHeight="false" outlineLevel="0" collapsed="false">
      <c r="A34" s="14" t="s">
        <v>117</v>
      </c>
      <c r="B34" s="14" t="s">
        <v>283</v>
      </c>
      <c r="C34" s="16" t="s">
        <v>30</v>
      </c>
      <c r="D34" s="14" t="s">
        <v>284</v>
      </c>
      <c r="E34" s="21" t="n">
        <v>3</v>
      </c>
      <c r="F34" s="16" t="s">
        <v>220</v>
      </c>
      <c r="G34" s="14"/>
    </row>
    <row r="35" customFormat="false" ht="15" hidden="false" customHeight="false" outlineLevel="0" collapsed="false">
      <c r="A35" s="14" t="s">
        <v>122</v>
      </c>
      <c r="B35" s="14" t="s">
        <v>285</v>
      </c>
      <c r="C35" s="16" t="s">
        <v>22</v>
      </c>
      <c r="D35" s="14" t="s">
        <v>286</v>
      </c>
      <c r="E35" s="21" t="n">
        <v>4</v>
      </c>
      <c r="F35" s="16" t="s">
        <v>220</v>
      </c>
      <c r="G35" s="14"/>
    </row>
    <row r="36" customFormat="false" ht="15" hidden="false" customHeight="false" outlineLevel="0" collapsed="false">
      <c r="A36" s="14" t="s">
        <v>122</v>
      </c>
      <c r="B36" s="14" t="s">
        <v>287</v>
      </c>
      <c r="C36" s="16" t="s">
        <v>16</v>
      </c>
      <c r="D36" s="14" t="s">
        <v>288</v>
      </c>
      <c r="E36" s="21" t="n">
        <v>5</v>
      </c>
      <c r="F36" s="16" t="s">
        <v>220</v>
      </c>
      <c r="G36" s="14"/>
    </row>
    <row r="37" customFormat="false" ht="15" hidden="false" customHeight="false" outlineLevel="0" collapsed="false">
      <c r="A37" s="14" t="s">
        <v>122</v>
      </c>
      <c r="B37" s="14" t="s">
        <v>289</v>
      </c>
      <c r="C37" s="16" t="s">
        <v>18</v>
      </c>
      <c r="D37" s="14" t="s">
        <v>290</v>
      </c>
      <c r="E37" s="21" t="n">
        <v>4</v>
      </c>
      <c r="F37" s="16" t="s">
        <v>220</v>
      </c>
      <c r="G37" s="14"/>
    </row>
    <row r="38" customFormat="false" ht="15" hidden="false" customHeight="false" outlineLevel="0" collapsed="false">
      <c r="A38" s="14" t="s">
        <v>122</v>
      </c>
      <c r="B38" s="14" t="s">
        <v>291</v>
      </c>
      <c r="C38" s="16" t="s">
        <v>30</v>
      </c>
      <c r="D38" s="14" t="s">
        <v>292</v>
      </c>
      <c r="E38" s="21" t="n">
        <v>3</v>
      </c>
      <c r="F38" s="16" t="s">
        <v>220</v>
      </c>
      <c r="G38" s="14"/>
    </row>
    <row r="39" customFormat="false" ht="15" hidden="false" customHeight="false" outlineLevel="0" collapsed="false">
      <c r="A39" s="14" t="s">
        <v>127</v>
      </c>
      <c r="B39" s="14" t="s">
        <v>293</v>
      </c>
      <c r="C39" s="16" t="s">
        <v>16</v>
      </c>
      <c r="D39" s="14" t="s">
        <v>294</v>
      </c>
      <c r="E39" s="21" t="n">
        <v>3</v>
      </c>
      <c r="F39" s="16" t="s">
        <v>220</v>
      </c>
      <c r="G39" s="14"/>
    </row>
    <row r="40" customFormat="false" ht="15" hidden="false" customHeight="false" outlineLevel="0" collapsed="false">
      <c r="A40" s="14" t="s">
        <v>127</v>
      </c>
      <c r="B40" s="14" t="s">
        <v>295</v>
      </c>
      <c r="C40" s="16" t="s">
        <v>16</v>
      </c>
      <c r="D40" s="14" t="s">
        <v>296</v>
      </c>
      <c r="E40" s="21" t="n">
        <v>3</v>
      </c>
      <c r="F40" s="16" t="s">
        <v>220</v>
      </c>
      <c r="G40" s="14"/>
    </row>
    <row r="41" customFormat="false" ht="15" hidden="false" customHeight="false" outlineLevel="0" collapsed="false">
      <c r="A41" s="14" t="s">
        <v>127</v>
      </c>
      <c r="B41" s="14" t="s">
        <v>297</v>
      </c>
      <c r="C41" s="16" t="s">
        <v>26</v>
      </c>
      <c r="D41" s="14" t="s">
        <v>298</v>
      </c>
      <c r="E41" s="21" t="n">
        <v>2</v>
      </c>
      <c r="F41" s="16" t="s">
        <v>220</v>
      </c>
      <c r="G41" s="14"/>
    </row>
    <row r="42" customFormat="false" ht="15" hidden="false" customHeight="false" outlineLevel="0" collapsed="false">
      <c r="A42" s="14" t="s">
        <v>133</v>
      </c>
      <c r="B42" s="14" t="s">
        <v>299</v>
      </c>
      <c r="C42" s="16" t="s">
        <v>16</v>
      </c>
      <c r="D42" s="14" t="s">
        <v>300</v>
      </c>
      <c r="E42" s="21" t="n">
        <v>3</v>
      </c>
      <c r="F42" s="16" t="s">
        <v>220</v>
      </c>
      <c r="G42" s="14"/>
    </row>
    <row r="43" customFormat="false" ht="15" hidden="false" customHeight="false" outlineLevel="0" collapsed="false">
      <c r="A43" s="14" t="s">
        <v>133</v>
      </c>
      <c r="B43" s="14" t="s">
        <v>301</v>
      </c>
      <c r="C43" s="16" t="s">
        <v>16</v>
      </c>
      <c r="D43" s="14" t="s">
        <v>302</v>
      </c>
      <c r="E43" s="21" t="n">
        <v>2</v>
      </c>
      <c r="F43" s="16" t="s">
        <v>220</v>
      </c>
      <c r="G43" s="14"/>
    </row>
    <row r="44" customFormat="false" ht="15" hidden="false" customHeight="false" outlineLevel="0" collapsed="false">
      <c r="A44" s="14" t="s">
        <v>133</v>
      </c>
      <c r="B44" s="14" t="s">
        <v>303</v>
      </c>
      <c r="C44" s="16" t="s">
        <v>34</v>
      </c>
      <c r="D44" s="14" t="s">
        <v>304</v>
      </c>
      <c r="E44" s="21" t="n">
        <v>2</v>
      </c>
      <c r="F44" s="16" t="s">
        <v>220</v>
      </c>
      <c r="G44" s="14"/>
    </row>
    <row r="45" customFormat="false" ht="15" hidden="false" customHeight="false" outlineLevel="0" collapsed="false">
      <c r="A45" s="14" t="s">
        <v>139</v>
      </c>
      <c r="B45" s="14" t="s">
        <v>305</v>
      </c>
      <c r="C45" s="16" t="s">
        <v>18</v>
      </c>
      <c r="D45" s="14" t="s">
        <v>306</v>
      </c>
      <c r="E45" s="21" t="n">
        <v>5</v>
      </c>
      <c r="F45" s="16" t="s">
        <v>220</v>
      </c>
      <c r="G45" s="14"/>
    </row>
    <row r="46" customFormat="false" ht="15" hidden="false" customHeight="false" outlineLevel="0" collapsed="false">
      <c r="A46" s="14" t="s">
        <v>139</v>
      </c>
      <c r="B46" s="14" t="s">
        <v>307</v>
      </c>
      <c r="C46" s="16" t="s">
        <v>18</v>
      </c>
      <c r="D46" s="14" t="s">
        <v>308</v>
      </c>
      <c r="E46" s="21" t="n">
        <v>4</v>
      </c>
      <c r="F46" s="16" t="s">
        <v>220</v>
      </c>
      <c r="G46" s="14"/>
    </row>
    <row r="47" customFormat="false" ht="15" hidden="false" customHeight="false" outlineLevel="0" collapsed="false">
      <c r="A47" s="14" t="s">
        <v>139</v>
      </c>
      <c r="B47" s="14" t="s">
        <v>309</v>
      </c>
      <c r="C47" s="16" t="s">
        <v>18</v>
      </c>
      <c r="D47" s="14" t="s">
        <v>310</v>
      </c>
      <c r="E47" s="21" t="n">
        <v>2</v>
      </c>
      <c r="F47" s="16" t="s">
        <v>220</v>
      </c>
      <c r="G47" s="14"/>
    </row>
    <row r="48" customFormat="false" ht="15" hidden="false" customHeight="false" outlineLevel="0" collapsed="false">
      <c r="A48" s="14" t="s">
        <v>147</v>
      </c>
      <c r="B48" s="14" t="s">
        <v>311</v>
      </c>
      <c r="C48" s="16" t="s">
        <v>16</v>
      </c>
      <c r="D48" s="14" t="s">
        <v>312</v>
      </c>
      <c r="E48" s="21" t="n">
        <v>4</v>
      </c>
      <c r="F48" s="16" t="s">
        <v>220</v>
      </c>
      <c r="G48" s="14"/>
    </row>
    <row r="49" customFormat="false" ht="15" hidden="false" customHeight="false" outlineLevel="0" collapsed="false">
      <c r="A49" s="14" t="s">
        <v>147</v>
      </c>
      <c r="B49" s="14" t="s">
        <v>313</v>
      </c>
      <c r="C49" s="16" t="s">
        <v>18</v>
      </c>
      <c r="D49" s="14" t="s">
        <v>314</v>
      </c>
      <c r="E49" s="21" t="n">
        <v>6</v>
      </c>
      <c r="F49" s="16" t="s">
        <v>220</v>
      </c>
      <c r="G49" s="14"/>
    </row>
    <row r="50" customFormat="false" ht="15" hidden="false" customHeight="false" outlineLevel="0" collapsed="false">
      <c r="A50" s="14" t="s">
        <v>147</v>
      </c>
      <c r="B50" s="14" t="s">
        <v>315</v>
      </c>
      <c r="C50" s="16" t="s">
        <v>16</v>
      </c>
      <c r="D50" s="14" t="s">
        <v>316</v>
      </c>
      <c r="E50" s="21" t="n">
        <v>3</v>
      </c>
      <c r="F50" s="16" t="s">
        <v>220</v>
      </c>
      <c r="G50" s="14"/>
    </row>
    <row r="51" customFormat="false" ht="15" hidden="false" customHeight="false" outlineLevel="0" collapsed="false">
      <c r="A51" s="14" t="s">
        <v>152</v>
      </c>
      <c r="B51" s="14" t="s">
        <v>317</v>
      </c>
      <c r="C51" s="16" t="s">
        <v>16</v>
      </c>
      <c r="D51" s="14" t="s">
        <v>318</v>
      </c>
      <c r="E51" s="21" t="n">
        <v>4</v>
      </c>
      <c r="F51" s="16" t="s">
        <v>220</v>
      </c>
      <c r="G51" s="14"/>
    </row>
    <row r="52" customFormat="false" ht="15" hidden="false" customHeight="false" outlineLevel="0" collapsed="false">
      <c r="A52" s="14" t="s">
        <v>152</v>
      </c>
      <c r="B52" s="14" t="s">
        <v>319</v>
      </c>
      <c r="C52" s="16" t="s">
        <v>18</v>
      </c>
      <c r="D52" s="14" t="s">
        <v>320</v>
      </c>
      <c r="E52" s="21" t="n">
        <v>2</v>
      </c>
      <c r="F52" s="16" t="s">
        <v>220</v>
      </c>
      <c r="G52" s="14"/>
    </row>
    <row r="53" customFormat="false" ht="15" hidden="false" customHeight="false" outlineLevel="0" collapsed="false">
      <c r="A53" s="14" t="s">
        <v>152</v>
      </c>
      <c r="B53" s="14" t="s">
        <v>321</v>
      </c>
      <c r="C53" s="16" t="s">
        <v>16</v>
      </c>
      <c r="D53" s="14" t="s">
        <v>322</v>
      </c>
      <c r="E53" s="21" t="n">
        <v>1</v>
      </c>
      <c r="F53" s="16" t="s">
        <v>220</v>
      </c>
      <c r="G53" s="14"/>
    </row>
    <row r="54" customFormat="false" ht="15" hidden="false" customHeight="false" outlineLevel="0" collapsed="false">
      <c r="A54" s="14" t="s">
        <v>159</v>
      </c>
      <c r="B54" s="14" t="s">
        <v>323</v>
      </c>
      <c r="C54" s="16" t="s">
        <v>16</v>
      </c>
      <c r="D54" s="14" t="s">
        <v>324</v>
      </c>
      <c r="E54" s="21" t="n">
        <v>6</v>
      </c>
      <c r="F54" s="16" t="s">
        <v>220</v>
      </c>
      <c r="G54" s="14"/>
    </row>
    <row r="55" customFormat="false" ht="15" hidden="false" customHeight="false" outlineLevel="0" collapsed="false">
      <c r="A55" s="14" t="s">
        <v>159</v>
      </c>
      <c r="B55" s="14" t="s">
        <v>325</v>
      </c>
      <c r="C55" s="16" t="s">
        <v>16</v>
      </c>
      <c r="D55" s="14" t="s">
        <v>326</v>
      </c>
      <c r="E55" s="21" t="n">
        <v>2</v>
      </c>
      <c r="F55" s="16" t="s">
        <v>220</v>
      </c>
      <c r="G55" s="14"/>
    </row>
    <row r="56" customFormat="false" ht="15" hidden="false" customHeight="false" outlineLevel="0" collapsed="false">
      <c r="A56" s="14" t="s">
        <v>159</v>
      </c>
      <c r="B56" s="14" t="s">
        <v>327</v>
      </c>
      <c r="C56" s="16" t="s">
        <v>18</v>
      </c>
      <c r="D56" s="14" t="s">
        <v>328</v>
      </c>
      <c r="E56" s="21" t="n">
        <v>3</v>
      </c>
      <c r="F56" s="16" t="s">
        <v>220</v>
      </c>
      <c r="G56" s="14"/>
    </row>
    <row r="57" customFormat="false" ht="15" hidden="false" customHeight="false" outlineLevel="0" collapsed="false">
      <c r="A57" s="14" t="s">
        <v>159</v>
      </c>
      <c r="B57" s="14" t="s">
        <v>329</v>
      </c>
      <c r="C57" s="16" t="s">
        <v>16</v>
      </c>
      <c r="D57" s="14" t="s">
        <v>330</v>
      </c>
      <c r="E57" s="21" t="n">
        <v>3</v>
      </c>
      <c r="F57" s="16" t="s">
        <v>220</v>
      </c>
      <c r="G57" s="14"/>
    </row>
    <row r="58" customFormat="false" ht="15" hidden="false" customHeight="false" outlineLevel="0" collapsed="false">
      <c r="A58" s="14" t="s">
        <v>166</v>
      </c>
      <c r="B58" s="14" t="s">
        <v>331</v>
      </c>
      <c r="C58" s="16" t="s">
        <v>16</v>
      </c>
      <c r="D58" s="14" t="s">
        <v>332</v>
      </c>
      <c r="E58" s="21" t="n">
        <v>5</v>
      </c>
      <c r="F58" s="16" t="s">
        <v>220</v>
      </c>
      <c r="G58" s="14"/>
    </row>
    <row r="59" customFormat="false" ht="15" hidden="false" customHeight="false" outlineLevel="0" collapsed="false">
      <c r="A59" s="14" t="s">
        <v>166</v>
      </c>
      <c r="B59" s="14" t="s">
        <v>333</v>
      </c>
      <c r="C59" s="16" t="s">
        <v>16</v>
      </c>
      <c r="D59" s="14" t="s">
        <v>334</v>
      </c>
      <c r="E59" s="21" t="n">
        <v>3</v>
      </c>
      <c r="F59" s="16" t="s">
        <v>220</v>
      </c>
      <c r="G59" s="14"/>
    </row>
    <row r="60" customFormat="false" ht="15" hidden="false" customHeight="false" outlineLevel="0" collapsed="false">
      <c r="A60" s="14" t="s">
        <v>166</v>
      </c>
      <c r="B60" s="14" t="s">
        <v>335</v>
      </c>
      <c r="C60" s="16" t="s">
        <v>18</v>
      </c>
      <c r="D60" s="14" t="s">
        <v>336</v>
      </c>
      <c r="E60" s="21" t="n">
        <v>2</v>
      </c>
      <c r="F60" s="16" t="s">
        <v>220</v>
      </c>
      <c r="G60" s="14"/>
    </row>
    <row r="61" customFormat="false" ht="15" hidden="false" customHeight="false" outlineLevel="0" collapsed="false">
      <c r="A61" s="14" t="s">
        <v>172</v>
      </c>
      <c r="B61" s="14" t="s">
        <v>337</v>
      </c>
      <c r="C61" s="16" t="s">
        <v>16</v>
      </c>
      <c r="D61" s="14" t="s">
        <v>338</v>
      </c>
      <c r="E61" s="21" t="n">
        <v>3</v>
      </c>
      <c r="F61" s="16" t="s">
        <v>220</v>
      </c>
      <c r="G61" s="14"/>
    </row>
    <row r="62" customFormat="false" ht="15" hidden="false" customHeight="false" outlineLevel="0" collapsed="false">
      <c r="A62" s="14" t="s">
        <v>172</v>
      </c>
      <c r="B62" s="14" t="s">
        <v>339</v>
      </c>
      <c r="C62" s="16" t="s">
        <v>18</v>
      </c>
      <c r="D62" s="14" t="s">
        <v>340</v>
      </c>
      <c r="E62" s="21" t="n">
        <v>3</v>
      </c>
      <c r="F62" s="16" t="s">
        <v>220</v>
      </c>
      <c r="G62" s="14"/>
    </row>
    <row r="63" customFormat="false" ht="15" hidden="false" customHeight="false" outlineLevel="0" collapsed="false">
      <c r="A63" s="14" t="s">
        <v>179</v>
      </c>
      <c r="B63" s="14" t="s">
        <v>341</v>
      </c>
      <c r="C63" s="16" t="s">
        <v>16</v>
      </c>
      <c r="D63" s="14" t="s">
        <v>342</v>
      </c>
      <c r="E63" s="21" t="n">
        <v>5</v>
      </c>
      <c r="F63" s="16" t="s">
        <v>220</v>
      </c>
      <c r="G63" s="14"/>
    </row>
    <row r="64" customFormat="false" ht="15" hidden="false" customHeight="false" outlineLevel="0" collapsed="false">
      <c r="A64" s="14" t="s">
        <v>179</v>
      </c>
      <c r="B64" s="14" t="s">
        <v>343</v>
      </c>
      <c r="C64" s="16" t="s">
        <v>16</v>
      </c>
      <c r="D64" s="14" t="s">
        <v>344</v>
      </c>
      <c r="E64" s="21" t="n">
        <v>5</v>
      </c>
      <c r="F64" s="16" t="s">
        <v>220</v>
      </c>
      <c r="G64" s="14"/>
    </row>
    <row r="65" customFormat="false" ht="15" hidden="false" customHeight="false" outlineLevel="0" collapsed="false">
      <c r="A65" s="14" t="s">
        <v>179</v>
      </c>
      <c r="B65" s="14" t="s">
        <v>345</v>
      </c>
      <c r="C65" s="16" t="s">
        <v>18</v>
      </c>
      <c r="D65" s="14" t="s">
        <v>346</v>
      </c>
      <c r="E65" s="21" t="n">
        <v>4</v>
      </c>
      <c r="F65" s="16" t="s">
        <v>220</v>
      </c>
      <c r="G65" s="14"/>
    </row>
    <row r="66" customFormat="false" ht="15" hidden="false" customHeight="false" outlineLevel="0" collapsed="false">
      <c r="A66" s="14" t="s">
        <v>185</v>
      </c>
      <c r="B66" s="14" t="s">
        <v>347</v>
      </c>
      <c r="C66" s="16" t="s">
        <v>34</v>
      </c>
      <c r="D66" s="14" t="s">
        <v>348</v>
      </c>
      <c r="E66" s="21" t="n">
        <v>6</v>
      </c>
      <c r="F66" s="16" t="s">
        <v>220</v>
      </c>
      <c r="G66" s="14"/>
    </row>
    <row r="67" customFormat="false" ht="15" hidden="false" customHeight="false" outlineLevel="0" collapsed="false">
      <c r="A67" s="14" t="s">
        <v>185</v>
      </c>
      <c r="B67" s="14" t="s">
        <v>349</v>
      </c>
      <c r="C67" s="16" t="s">
        <v>34</v>
      </c>
      <c r="D67" s="14" t="s">
        <v>350</v>
      </c>
      <c r="E67" s="21" t="n">
        <v>4</v>
      </c>
      <c r="F67" s="16" t="s">
        <v>220</v>
      </c>
      <c r="G67" s="14"/>
    </row>
    <row r="68" customFormat="false" ht="15" hidden="false" customHeight="false" outlineLevel="0" collapsed="false">
      <c r="A68" s="14" t="s">
        <v>192</v>
      </c>
      <c r="B68" s="14" t="s">
        <v>351</v>
      </c>
      <c r="C68" s="16" t="s">
        <v>16</v>
      </c>
      <c r="D68" s="14" t="s">
        <v>352</v>
      </c>
      <c r="E68" s="21" t="n">
        <v>8</v>
      </c>
      <c r="F68" s="16" t="s">
        <v>220</v>
      </c>
      <c r="G68" s="14"/>
    </row>
    <row r="69" customFormat="false" ht="15" hidden="false" customHeight="false" outlineLevel="0" collapsed="false">
      <c r="A69" s="14" t="s">
        <v>192</v>
      </c>
      <c r="B69" s="14" t="s">
        <v>353</v>
      </c>
      <c r="C69" s="16" t="s">
        <v>16</v>
      </c>
      <c r="D69" s="14" t="s">
        <v>354</v>
      </c>
      <c r="E69" s="21" t="n">
        <v>8</v>
      </c>
      <c r="F69" s="16" t="s">
        <v>220</v>
      </c>
      <c r="G69" s="14"/>
    </row>
    <row r="70" customFormat="false" ht="15" hidden="false" customHeight="false" outlineLevel="0" collapsed="false">
      <c r="A70" s="14" t="s">
        <v>200</v>
      </c>
      <c r="B70" s="14" t="s">
        <v>355</v>
      </c>
      <c r="C70" s="16" t="s">
        <v>16</v>
      </c>
      <c r="D70" s="14" t="s">
        <v>356</v>
      </c>
      <c r="E70" s="21" t="n">
        <v>6</v>
      </c>
      <c r="F70" s="16" t="s">
        <v>220</v>
      </c>
      <c r="G70" s="14"/>
    </row>
    <row r="71" customFormat="false" ht="15" hidden="false" customHeight="false" outlineLevel="0" collapsed="false">
      <c r="A71" s="14" t="s">
        <v>200</v>
      </c>
      <c r="B71" s="14" t="s">
        <v>357</v>
      </c>
      <c r="C71" s="16" t="s">
        <v>34</v>
      </c>
      <c r="D71" s="14" t="s">
        <v>358</v>
      </c>
      <c r="E71" s="21" t="n">
        <v>2</v>
      </c>
      <c r="F71" s="16" t="s">
        <v>220</v>
      </c>
      <c r="G71" s="14"/>
    </row>
    <row r="72" customFormat="false" ht="15" hidden="false" customHeight="false" outlineLevel="0" collapsed="false">
      <c r="A72" s="14" t="s">
        <v>205</v>
      </c>
      <c r="B72" s="14" t="s">
        <v>359</v>
      </c>
      <c r="C72" s="16" t="s">
        <v>34</v>
      </c>
      <c r="D72" s="14" t="s">
        <v>360</v>
      </c>
      <c r="E72" s="21" t="n">
        <v>8</v>
      </c>
      <c r="F72" s="16" t="s">
        <v>220</v>
      </c>
      <c r="G72" s="14"/>
    </row>
    <row r="73" customFormat="false" ht="15" hidden="false" customHeight="false" outlineLevel="0" collapsed="false">
      <c r="A73" s="14" t="s">
        <v>205</v>
      </c>
      <c r="B73" s="14" t="s">
        <v>361</v>
      </c>
      <c r="C73" s="16" t="s">
        <v>18</v>
      </c>
      <c r="D73" s="14" t="s">
        <v>0</v>
      </c>
      <c r="E73" s="21" t="n">
        <v>6</v>
      </c>
      <c r="F73" s="16" t="s">
        <v>220</v>
      </c>
      <c r="G73" s="14"/>
    </row>
  </sheetData>
  <autoFilter ref="A1:G73"/>
  <dataValidations count="2">
    <dataValidation allowBlank="false" errorStyle="stop" operator="between" showDropDown="false" showErrorMessage="false" showInputMessage="false" sqref="F2:F73" type="list">
      <formula1>"À faire,En cours,En revue,Terminé,Bloqué"</formula1>
      <formula2>0</formula2>
    </dataValidation>
    <dataValidation allowBlank="false" errorStyle="stop" operator="between" showDropDown="false" showErrorMessage="false" showInputMessage="false" sqref="C2:C73" type="list">
      <formula1>"BE,FE,MOB,IA,ML,DATA,DEVOPS,QA,IOT,PO,REG"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2026-09-23T08:51:58Z</dcterms:created>
  <dc:creator>openpyxl</dc:creator>
  <dc:description/>
  <dc:language>en-US</dc:language>
  <cp:lastModifiedBy/>
  <dcterms:modified xsi:type="dcterms:W3CDTF">2026-09-23T08:51:58Z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